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3"/>
  <workbookPr/>
  <mc:AlternateContent xmlns:mc="http://schemas.openxmlformats.org/markup-compatibility/2006">
    <mc:Choice Requires="x15">
      <x15ac:absPath xmlns:x15ac="http://schemas.microsoft.com/office/spreadsheetml/2010/11/ac" url="https://cloudmails-my.sharepoint.com/personal/ta_cloudmails_apu_edu_my/Documents/Technical Assistant/97 Departments/Human Resource Functional Unit/Roster/"/>
    </mc:Choice>
  </mc:AlternateContent>
  <xr:revisionPtr revIDLastSave="2706" documentId="8_{5AED7D36-B324-4BE9-9A22-8514031432E6}" xr6:coauthVersionLast="47" xr6:coauthVersionMax="47" xr10:uidLastSave="{EA5F9ECB-F3AD-4D82-B9FE-0D8046132CDD}"/>
  <bookViews>
    <workbookView xWindow="-110" yWindow="-110" windowWidth="19420" windowHeight="11020" xr2:uid="{00000000-000D-0000-FFFF-FFFF00000000}"/>
  </bookViews>
  <sheets>
    <sheet name="TA" sheetId="78" r:id="rId1"/>
    <sheet name="Trainee" sheetId="79" state="hidden" r:id="rId2"/>
    <sheet name="Names list" sheetId="2" state="hidden" r:id="rId3"/>
    <sheet name="Weekly IT Requests" sheetId="18" r:id="rId4"/>
    <sheet name="Event Standby Requests" sheetId="6" r:id="rId5"/>
  </sheets>
  <definedNames>
    <definedName name="_xlnm._FilterDatabase" localSheetId="0" hidden="1">TA!$A$1:$I$10</definedName>
    <definedName name="_xlnm._FilterDatabase" localSheetId="4" hidden="1">'Event Standby Requests'!$A$1:$J$8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78" l="1"/>
  <c r="H85" i="2"/>
  <c r="H84" i="2"/>
  <c r="O141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N141" i="2"/>
  <c r="M141" i="2"/>
  <c r="N83" i="2"/>
  <c r="M81" i="2"/>
  <c r="M87" i="2"/>
  <c r="P81" i="2"/>
  <c r="P82" i="2"/>
  <c r="P83" i="2"/>
  <c r="P84" i="2"/>
  <c r="P85" i="2"/>
  <c r="N81" i="2"/>
  <c r="N82" i="2"/>
  <c r="M82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M83" i="2"/>
  <c r="M84" i="2"/>
  <c r="M85" i="2"/>
  <c r="M86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P88" i="2"/>
  <c r="P87" i="2"/>
  <c r="P86" i="2"/>
  <c r="H14" i="79"/>
  <c r="I14" i="79"/>
  <c r="H25" i="79"/>
  <c r="I25" i="79"/>
  <c r="H35" i="79"/>
  <c r="I35" i="79"/>
  <c r="H45" i="79"/>
  <c r="I45" i="79"/>
  <c r="F45" i="79"/>
  <c r="E45" i="79"/>
  <c r="D45" i="79"/>
  <c r="C45" i="79"/>
  <c r="F35" i="79"/>
  <c r="E35" i="79"/>
  <c r="D35" i="79"/>
  <c r="C35" i="79"/>
  <c r="F25" i="79"/>
  <c r="E25" i="79"/>
  <c r="D25" i="79"/>
  <c r="C25" i="79"/>
  <c r="F14" i="79"/>
  <c r="E14" i="79"/>
  <c r="H86" i="2" s="1"/>
  <c r="D14" i="79"/>
  <c r="C14" i="79"/>
  <c r="A13" i="79"/>
  <c r="I54" i="79" s="1"/>
  <c r="H54" i="78" l="1"/>
  <c r="A24" i="78"/>
  <c r="A34" i="78" s="1"/>
  <c r="A44" i="78" s="1"/>
  <c r="A54" i="78" s="1"/>
  <c r="A2" i="78" s="1"/>
  <c r="P141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G81" i="2"/>
  <c r="G82" i="2"/>
  <c r="G83" i="2"/>
  <c r="H81" i="2"/>
  <c r="H82" i="2"/>
  <c r="H83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M135" i="2"/>
  <c r="N135" i="2"/>
  <c r="I135" i="2"/>
  <c r="J83" i="2"/>
  <c r="K83" i="2"/>
  <c r="J82" i="2"/>
  <c r="K82" i="2"/>
  <c r="J81" i="2"/>
  <c r="K81" i="2"/>
  <c r="G134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5" i="2"/>
  <c r="O135" i="2"/>
  <c r="P135" i="2"/>
  <c r="A24" i="79"/>
  <c r="A34" i="79" s="1"/>
  <c r="A44" i="79" s="1"/>
  <c r="A54" i="79" s="1"/>
  <c r="A2" i="79" s="1"/>
  <c r="J133" i="2" l="1"/>
  <c r="K133" i="2"/>
  <c r="J132" i="2"/>
  <c r="K132" i="2"/>
  <c r="J131" i="2"/>
  <c r="K131" i="2"/>
  <c r="J130" i="2"/>
  <c r="K130" i="2"/>
  <c r="J129" i="2"/>
  <c r="K129" i="2"/>
  <c r="J128" i="2"/>
  <c r="K128" i="2"/>
  <c r="J127" i="2"/>
  <c r="K127" i="2"/>
  <c r="J126" i="2"/>
  <c r="K126" i="2"/>
  <c r="J125" i="2"/>
  <c r="K125" i="2"/>
  <c r="J124" i="2"/>
  <c r="K124" i="2"/>
  <c r="J123" i="2"/>
  <c r="K123" i="2"/>
  <c r="J122" i="2"/>
  <c r="K122" i="2"/>
  <c r="J121" i="2"/>
  <c r="K121" i="2"/>
  <c r="J120" i="2"/>
  <c r="K120" i="2"/>
  <c r="J119" i="2"/>
  <c r="K119" i="2"/>
  <c r="J118" i="2"/>
  <c r="K118" i="2"/>
  <c r="J117" i="2"/>
  <c r="K117" i="2"/>
  <c r="J116" i="2"/>
  <c r="K116" i="2"/>
  <c r="J115" i="2"/>
  <c r="K115" i="2"/>
  <c r="J114" i="2"/>
  <c r="K114" i="2"/>
  <c r="J113" i="2"/>
  <c r="K113" i="2"/>
  <c r="J112" i="2"/>
  <c r="K112" i="2"/>
  <c r="J111" i="2"/>
  <c r="K111" i="2"/>
  <c r="J110" i="2"/>
  <c r="K110" i="2"/>
  <c r="J109" i="2"/>
  <c r="K109" i="2"/>
  <c r="J108" i="2"/>
  <c r="K108" i="2"/>
  <c r="J107" i="2"/>
  <c r="K107" i="2"/>
  <c r="J106" i="2"/>
  <c r="K106" i="2"/>
  <c r="J105" i="2"/>
  <c r="K105" i="2"/>
  <c r="J104" i="2"/>
  <c r="K104" i="2"/>
  <c r="J103" i="2"/>
  <c r="K103" i="2"/>
  <c r="J102" i="2"/>
  <c r="K102" i="2"/>
  <c r="J101" i="2"/>
  <c r="K101" i="2"/>
  <c r="J100" i="2"/>
  <c r="K100" i="2"/>
  <c r="J99" i="2"/>
  <c r="K99" i="2"/>
  <c r="J98" i="2"/>
  <c r="K98" i="2"/>
  <c r="J97" i="2"/>
  <c r="K97" i="2"/>
  <c r="J96" i="2"/>
  <c r="K96" i="2"/>
  <c r="J95" i="2"/>
  <c r="K95" i="2"/>
  <c r="J94" i="2"/>
  <c r="K94" i="2"/>
  <c r="J93" i="2"/>
  <c r="K93" i="2"/>
  <c r="J92" i="2"/>
  <c r="K92" i="2"/>
  <c r="J91" i="2"/>
  <c r="K91" i="2"/>
  <c r="J90" i="2"/>
  <c r="K90" i="2"/>
  <c r="J89" i="2"/>
  <c r="K89" i="2"/>
  <c r="J88" i="2"/>
  <c r="K88" i="2"/>
  <c r="J87" i="2"/>
  <c r="K87" i="2"/>
  <c r="J86" i="2"/>
  <c r="K86" i="2"/>
  <c r="J85" i="2"/>
  <c r="K85" i="2"/>
  <c r="J84" i="2"/>
  <c r="K84" i="2"/>
  <c r="J134" i="2"/>
  <c r="K134" i="2"/>
  <c r="H135" i="2"/>
  <c r="K135" i="2" s="1"/>
  <c r="J135" i="2" l="1"/>
</calcChain>
</file>

<file path=xl/sharedStrings.xml><?xml version="1.0" encoding="utf-8"?>
<sst xmlns="http://schemas.openxmlformats.org/spreadsheetml/2006/main" count="967" uniqueCount="372">
  <si>
    <t>Technical Assistant Final Duty Roster</t>
  </si>
  <si>
    <t>Shift</t>
  </si>
  <si>
    <t>Time</t>
  </si>
  <si>
    <t>TechCentre-1</t>
  </si>
  <si>
    <t>TechCentre-2</t>
  </si>
  <si>
    <t>Rounding-1</t>
  </si>
  <si>
    <t>Rounding-2</t>
  </si>
  <si>
    <t>Rounding-3</t>
  </si>
  <si>
    <t>QC-1</t>
  </si>
  <si>
    <t>QC-2</t>
  </si>
  <si>
    <t>S1</t>
  </si>
  <si>
    <t>0815 - 1030</t>
  </si>
  <si>
    <t>Aseel</t>
  </si>
  <si>
    <t>Nazmir</t>
  </si>
  <si>
    <t>Srini</t>
  </si>
  <si>
    <t>Hamdan</t>
  </si>
  <si>
    <t>Shamiur</t>
  </si>
  <si>
    <t>S2</t>
  </si>
  <si>
    <t>1030 - 1230</t>
  </si>
  <si>
    <t>Haifa</t>
  </si>
  <si>
    <t>Awad</t>
  </si>
  <si>
    <t>Phone</t>
  </si>
  <si>
    <t>S3</t>
  </si>
  <si>
    <t>1230 - 1430</t>
  </si>
  <si>
    <t>Lin Htin</t>
  </si>
  <si>
    <t>Bismi</t>
  </si>
  <si>
    <t>Zakarya</t>
  </si>
  <si>
    <t>Ebad</t>
  </si>
  <si>
    <t>S4</t>
  </si>
  <si>
    <t>1430 - 1630</t>
  </si>
  <si>
    <t>Michael</t>
  </si>
  <si>
    <t>Arshia</t>
  </si>
  <si>
    <t>Yip</t>
  </si>
  <si>
    <t>S5</t>
  </si>
  <si>
    <t>1630 - 1830</t>
  </si>
  <si>
    <t>S6</t>
  </si>
  <si>
    <t>1830 - 2130</t>
  </si>
  <si>
    <t>Donaley</t>
  </si>
  <si>
    <t>Nahyan</t>
  </si>
  <si>
    <t>Amr</t>
  </si>
  <si>
    <t>Irneen</t>
  </si>
  <si>
    <t>10:30 - 12:30</t>
  </si>
  <si>
    <t>Hammad</t>
  </si>
  <si>
    <t>Umme</t>
  </si>
  <si>
    <t>Esha</t>
  </si>
  <si>
    <t>Valen</t>
  </si>
  <si>
    <t>Raghad</t>
  </si>
  <si>
    <t>1630 - 1810</t>
  </si>
  <si>
    <t>1810 - 1830</t>
  </si>
  <si>
    <t>Amr Khaled</t>
  </si>
  <si>
    <t>Omar</t>
  </si>
  <si>
    <t>Ramiz</t>
  </si>
  <si>
    <t>Douaa</t>
  </si>
  <si>
    <t>Akla</t>
  </si>
  <si>
    <t>Omar Saeed</t>
  </si>
  <si>
    <t>Abrar</t>
  </si>
  <si>
    <t>Eanan</t>
  </si>
  <si>
    <t>Arsheyan</t>
  </si>
  <si>
    <t>Sazid</t>
  </si>
  <si>
    <t>Shukri</t>
  </si>
  <si>
    <t>GM</t>
  </si>
  <si>
    <t>TechCentre</t>
  </si>
  <si>
    <t>Rounding</t>
  </si>
  <si>
    <t>Chairperson</t>
  </si>
  <si>
    <t>Minutes Writer</t>
  </si>
  <si>
    <t>0800 - 1300</t>
  </si>
  <si>
    <t>1300 - 1800</t>
  </si>
  <si>
    <t>Tanvir</t>
  </si>
  <si>
    <t>Location</t>
  </si>
  <si>
    <t>Technical Assistant Trainee Final Duty Roster</t>
  </si>
  <si>
    <t>Sriniketan Parthasarathi</t>
  </si>
  <si>
    <t>MOHAMED AWAD MOHAMED ABDELRAHIM</t>
  </si>
  <si>
    <t>Nazeer Fathima Akla</t>
  </si>
  <si>
    <t>HAN THU HTUN</t>
  </si>
  <si>
    <t>VALENCIA AGNETA HARIANSJAH GOUW</t>
  </si>
  <si>
    <t>HAIFA MOHAMED SHIRAZ</t>
  </si>
  <si>
    <t>Umme Ashfakum Maney</t>
  </si>
  <si>
    <t>ANIK HASAN</t>
  </si>
  <si>
    <t>DOUAA MAGUINI</t>
  </si>
  <si>
    <t>NYAN LIN HTET</t>
  </si>
  <si>
    <t>PHONE MYAT MIN</t>
  </si>
  <si>
    <t>LIN HTIN AUNG</t>
  </si>
  <si>
    <t>Muhammad Usman</t>
  </si>
  <si>
    <t>Zakarya Hussein Bin Askar</t>
  </si>
  <si>
    <t>FATMA JEMAL MOHAMED</t>
  </si>
  <si>
    <t>ESHA TARIQ WANT</t>
  </si>
  <si>
    <t>ONG YUEN NING</t>
  </si>
  <si>
    <t>MUHAMMAD ABDULLAH TAHIR</t>
  </si>
  <si>
    <t>MD.KABIDUZZAMAN</t>
  </si>
  <si>
    <t>ARSHIA BARI</t>
  </si>
  <si>
    <t>FAHEEM AHMED</t>
  </si>
  <si>
    <t>No Slot</t>
  </si>
  <si>
    <t>OMAR SAEED MOHAMMED AL-SULTAN</t>
  </si>
  <si>
    <t>LUJAIN ISMAIL ELBAGIR HUSAIN</t>
  </si>
  <si>
    <t>MUHAMMAD NAZMIR BIN NOR AZLAN</t>
  </si>
  <si>
    <t>CHONG JIA YUN</t>
  </si>
  <si>
    <t>Total Shifts</t>
  </si>
  <si>
    <t>MOHAMED IRNEEN AHMED</t>
  </si>
  <si>
    <t>JANNATUL FERDOUS BISMI</t>
  </si>
  <si>
    <t>BRANDON GO</t>
  </si>
  <si>
    <t>MD AL NAHYAN</t>
  </si>
  <si>
    <t>GONG JAC YIK</t>
  </si>
  <si>
    <t>RABII BOUDHINA</t>
  </si>
  <si>
    <t>HAMZAH ABDELSALAM ELMEDAKA</t>
  </si>
  <si>
    <t>MD SAFAT ZUBAYER</t>
  </si>
  <si>
    <t xml:space="preserve"> </t>
  </si>
  <si>
    <t>GM on</t>
  </si>
  <si>
    <t>1300-1800</t>
  </si>
  <si>
    <t>`</t>
  </si>
  <si>
    <t xml:space="preserve">TA name </t>
  </si>
  <si>
    <t>Preferred name</t>
  </si>
  <si>
    <t>Email</t>
  </si>
  <si>
    <t>Column1</t>
  </si>
  <si>
    <t>Column2</t>
  </si>
  <si>
    <t>Abdulla Meesum Ahmed</t>
  </si>
  <si>
    <t>Meesum</t>
  </si>
  <si>
    <t>abdulla.meesum@cloudmails.apu.edu.my</t>
  </si>
  <si>
    <t>TA</t>
  </si>
  <si>
    <t>Ahmed Mazin Mahir</t>
  </si>
  <si>
    <t>Mazin</t>
  </si>
  <si>
    <t>ahmed.mazin@cloudmails.apu.edu.my</t>
  </si>
  <si>
    <t>Amr Nezar Mohamed Ali</t>
  </si>
  <si>
    <t>amr.nezar@cloudmails.apu.edu.my</t>
  </si>
  <si>
    <t>Arsheyan Ibn Ehtesham</t>
  </si>
  <si>
    <t>arsheyan.ehtesham@cloudmails.apu.edu.my</t>
  </si>
  <si>
    <t>Ashar Sayeed</t>
  </si>
  <si>
    <t>Ashar</t>
  </si>
  <si>
    <t>ashar.sayeed@cloudmails.apu.edu.my</t>
  </si>
  <si>
    <t>Aseel Mohammed Hassan Sanad</t>
  </si>
  <si>
    <t>aseel.sanad.ta@mail.apu.edu.my</t>
  </si>
  <si>
    <t>Chennupati Sai Dheeraj</t>
  </si>
  <si>
    <t>Sai</t>
  </si>
  <si>
    <t>chennupati.sai@cloudmails.apu.edu.my</t>
  </si>
  <si>
    <t>Clairine Allegra Muliono</t>
  </si>
  <si>
    <t>Clairine</t>
  </si>
  <si>
    <t>clairine.allegra.ta@mail.apu.edu.my</t>
  </si>
  <si>
    <t>Eanan Anjum</t>
  </si>
  <si>
    <t>eanan.anjum.ta@mail.apu.edu.my</t>
  </si>
  <si>
    <t>Ebad Ejaz Fakih</t>
  </si>
  <si>
    <t>ebad.ejaz.ta@mail.apu.edu.my</t>
  </si>
  <si>
    <t>Evelyn Angelica Lie</t>
  </si>
  <si>
    <t>Evelyn</t>
  </si>
  <si>
    <t>evelyn.angelica.ta@mail.apu.edu.my</t>
  </si>
  <si>
    <t>Farah Wesam Mohammad Alali</t>
  </si>
  <si>
    <t>Farah</t>
  </si>
  <si>
    <t>farah.wesam@cloudmails.apu.edu.my</t>
  </si>
  <si>
    <t>Glenn Carlos Khorigin</t>
  </si>
  <si>
    <t>Glenn</t>
  </si>
  <si>
    <t>glenn.carlos@cloudmails.apu.edu.my</t>
  </si>
  <si>
    <t>Hamdan Afross</t>
  </si>
  <si>
    <t>hamdan.afross.ta@mail.apu.edu.my</t>
  </si>
  <si>
    <t>Hammad Imran</t>
  </si>
  <si>
    <t>hammad.imran@cloudmails.apu.edu.my</t>
  </si>
  <si>
    <t>Jamaloodeen Mu'Azzam Ali</t>
  </si>
  <si>
    <t>Jamaloodeen</t>
  </si>
  <si>
    <t>jamaloodeen.ali@cloudmails.apu.edu.my</t>
  </si>
  <si>
    <t>Jericho Claudius Hartono</t>
  </si>
  <si>
    <t>Jericho</t>
  </si>
  <si>
    <t>jericho.claudius@cloudmails.apu.edu.my</t>
  </si>
  <si>
    <t>Khoo Ji Qiang</t>
  </si>
  <si>
    <t>Ji Qiang</t>
  </si>
  <si>
    <t>ji.qiang@cloudmails.apu.edu.my</t>
  </si>
  <si>
    <t>Lee Qiu Ting</t>
  </si>
  <si>
    <t>Qiu Ting</t>
  </si>
  <si>
    <t>qiu.ting@cloudmails.apu.edu.my</t>
  </si>
  <si>
    <t>Liew Jin Ann</t>
  </si>
  <si>
    <t>Jin Ann</t>
  </si>
  <si>
    <t>jin.ann@cloudmails.apu.edu.my</t>
  </si>
  <si>
    <t>Lim Zheng Hao</t>
  </si>
  <si>
    <t>Zheng Hao</t>
  </si>
  <si>
    <t>zheng.hao@cloudmails.apu.edu.my</t>
  </si>
  <si>
    <t>Maanvi Goorbin</t>
  </si>
  <si>
    <t>Maanvi</t>
  </si>
  <si>
    <t>maanvi.goorbin@cloudmails.apu.edu.my</t>
  </si>
  <si>
    <t>Michael Dave Soemardi</t>
  </si>
  <si>
    <t>michael.dave.ta@mail.apu.edu.my</t>
  </si>
  <si>
    <t>Minhal Ali</t>
  </si>
  <si>
    <t>Minhal</t>
  </si>
  <si>
    <t>minhal.ali@cloudmails.apu.edu.my</t>
  </si>
  <si>
    <t>Mohammad Abrarul Hoque</t>
  </si>
  <si>
    <t>mohammad.abrarul.ta@mail.apu.edu.my</t>
  </si>
  <si>
    <t>Mohammed Eshan</t>
  </si>
  <si>
    <t>Eshan</t>
  </si>
  <si>
    <t>mohammed.eshan@cloudmails.apu.edu.my</t>
  </si>
  <si>
    <t>Mugtaba Mohamed Eisa Shaikeldin</t>
  </si>
  <si>
    <t>Mugtaba</t>
  </si>
  <si>
    <t>mugtaba.mohamed@cloudmails.apu.edu.my</t>
  </si>
  <si>
    <t>Muhammad Ridwan Bin Jesmarnel</t>
  </si>
  <si>
    <t>Ridwan</t>
  </si>
  <si>
    <t>muhammad.ridwan@cloudmails.apu.edu.my</t>
  </si>
  <si>
    <t>Musab Salah Adam Younis</t>
  </si>
  <si>
    <t>Musab</t>
  </si>
  <si>
    <t>musab.salah@cloudmails.apu.edu.my</t>
  </si>
  <si>
    <t>Muznah Mansoor Naquishbandi</t>
  </si>
  <si>
    <t>Muznah</t>
  </si>
  <si>
    <t>muznah.mansoor@cloudmails.apu.edu.my</t>
  </si>
  <si>
    <t>Noel Lado Benjamin Jada</t>
  </si>
  <si>
    <t>Noel</t>
  </si>
  <si>
    <t>noel.lado@cloudmails.apu.edu.my</t>
  </si>
  <si>
    <t>Omar Mohamed Ahmed Abdelmaksoud Laban</t>
  </si>
  <si>
    <t>omar.mohamed.ta@mail.apu.edu.my</t>
  </si>
  <si>
    <t>Raghad Abdelmoneim Mahgoub Mohamed Salih</t>
  </si>
  <si>
    <t>raghad.abdelmoneim.ta@mail.apu.edu.my</t>
  </si>
  <si>
    <t>Ramiz Abd Elrahman Ahmed Saifeldin</t>
  </si>
  <si>
    <t>ramiz.abdelrahman.ta@mail.apu.edu.my</t>
  </si>
  <si>
    <t>Rich Miracle Iblelito Satrio Widjaja</t>
  </si>
  <si>
    <t>Rich</t>
  </si>
  <si>
    <t>rich.miracle@cloudmails.apu.edu.my</t>
  </si>
  <si>
    <t>Sazid Ur Rahman Khan</t>
  </si>
  <si>
    <t>sazid.rahman.ta@mail.apu.edu.my</t>
  </si>
  <si>
    <t>Shamiur Rahman</t>
  </si>
  <si>
    <t>shamiur.rahman.ta@mail.apu.edu.my</t>
  </si>
  <si>
    <t>Shukri Dahir Ahmed</t>
  </si>
  <si>
    <t>shukri.dahir.ta@mail.apu.edu.my</t>
  </si>
  <si>
    <t>Sri Venkata Subrahmanya Ramachandra Rao Kolavennu</t>
  </si>
  <si>
    <t>Chandu</t>
  </si>
  <si>
    <t>sri.venkata@cloudmails.apu.edu.my</t>
  </si>
  <si>
    <t>Stanley Wijaya</t>
  </si>
  <si>
    <t>Stanley</t>
  </si>
  <si>
    <t>stanley.wijaya@cloudmails.apu.edu.my</t>
  </si>
  <si>
    <t>Tai Eason</t>
  </si>
  <si>
    <t>Eason</t>
  </si>
  <si>
    <t>tai.eason@cloudmails.apu.edu.my</t>
  </si>
  <si>
    <t>Tanvir Ahmed Khan</t>
  </si>
  <si>
    <t>tanvir.ahmed.ta@mail.apu.edu.my</t>
  </si>
  <si>
    <t>Tham Wing Hein</t>
  </si>
  <si>
    <t>Henry</t>
  </si>
  <si>
    <t>wing.hein@cloudmails.apu.edu.my</t>
  </si>
  <si>
    <t>Yip Li Xing</t>
  </si>
  <si>
    <t>li.xing.ta@mail.apu.edu.my</t>
  </si>
  <si>
    <t>Zamir Bin Artan Zote Zejno</t>
  </si>
  <si>
    <t>Zamir</t>
  </si>
  <si>
    <t>zamir.artan.ta@mail.apu.edu.my</t>
  </si>
  <si>
    <t>Amr Khaled Hamid Anaam</t>
  </si>
  <si>
    <t>amr.khaled.ta@mail.apu.edu.my</t>
  </si>
  <si>
    <t>Arshia Bari</t>
  </si>
  <si>
    <t>arshia.bari.ta@mail.apu.edu.my</t>
  </si>
  <si>
    <t>Brandon Go</t>
  </si>
  <si>
    <t>Brandon</t>
  </si>
  <si>
    <t>brandon.go.ta@mail.apu.edu.my</t>
  </si>
  <si>
    <t>Chong Jia Yun</t>
  </si>
  <si>
    <t>Jia Yun</t>
  </si>
  <si>
    <t>chong.jia.ta@mail.apu.edu.my</t>
  </si>
  <si>
    <t>Donaley Kururama Makarawa</t>
  </si>
  <si>
    <t>donaley.kururama.ta@mail.apu.edu.my</t>
  </si>
  <si>
    <t>Douaa Maguini</t>
  </si>
  <si>
    <t>douaa.maguini.ta@mail.apu.edu.my</t>
  </si>
  <si>
    <t>Esha Tariq Want</t>
  </si>
  <si>
    <t>esha.tariq.ta@mail.apu.edu.my</t>
  </si>
  <si>
    <t>Haifa Mohamed Shiraz</t>
  </si>
  <si>
    <t>haifa.mohamed.ta@mail.apu.edu.my</t>
  </si>
  <si>
    <t>Jannatul Ferdous Bismi</t>
  </si>
  <si>
    <t>jannatul.ferdous.ta@mail.apu.edu.my</t>
  </si>
  <si>
    <t>Lin Htin Aung</t>
  </si>
  <si>
    <t>lin.htin.ta@mail.apu.edu.my</t>
  </si>
  <si>
    <t>MD Al Nahyan</t>
  </si>
  <si>
    <t>al.nahyan.ta@mail.apu.edu.my</t>
  </si>
  <si>
    <t>Mohamed Awad Mohamed Abdelrahim</t>
  </si>
  <si>
    <t>mohamed.awad.ta@mail.apu.edu.my</t>
  </si>
  <si>
    <t>Mohamed Irneen Ahmed</t>
  </si>
  <si>
    <t>mohamed.irneen.ta@mail.apu.edu.my</t>
  </si>
  <si>
    <t>Muhammad Nazmir Bin Nor Azlan</t>
  </si>
  <si>
    <t>muhammad.nazmir.ta@mail.apu.edu.my</t>
  </si>
  <si>
    <t>fathima.akla.ta@mail.apu.edu.my</t>
  </si>
  <si>
    <t>Nyan Lin Htet</t>
  </si>
  <si>
    <t>Nyan Lin</t>
  </si>
  <si>
    <t>nyan.lin.ta@mail.apu.edu.my</t>
  </si>
  <si>
    <t>Omar Saeed Mohammed Al-Sultan</t>
  </si>
  <si>
    <t>omar.saeed.ta@mail.apu.edu.my</t>
  </si>
  <si>
    <t>Ong Yuen Ning</t>
  </si>
  <si>
    <t>Ong</t>
  </si>
  <si>
    <t>ong.yuen.ta@mail.apu.edu.my</t>
  </si>
  <si>
    <t>Phone Myat Min</t>
  </si>
  <si>
    <t>phone.myat.ta@mail.apu.edu.my</t>
  </si>
  <si>
    <t>sriniketan.parthasarathi.ta@mail.apu.edu.my</t>
  </si>
  <si>
    <t>umme.ashfakum.ta@mail.apu.edu.my</t>
  </si>
  <si>
    <t>Valencia Agneta Hariansjah Gouw</t>
  </si>
  <si>
    <t>valencia.agneta.ta@mail.apu.edu.my</t>
  </si>
  <si>
    <t>zakarya.hussein.ta@mail.apu.edu.my</t>
  </si>
  <si>
    <t>Public Holiday</t>
  </si>
  <si>
    <t>Description</t>
  </si>
  <si>
    <t>Shifts</t>
  </si>
  <si>
    <t>Normal shifts (2 Hour)</t>
  </si>
  <si>
    <t>Night Shift (S6, 3 Hours)</t>
  </si>
  <si>
    <t>Saturday Shift (5 Hours)</t>
  </si>
  <si>
    <t>Inactive</t>
  </si>
  <si>
    <t>Trainee Total : 54</t>
  </si>
  <si>
    <t>October Trainee 2025</t>
  </si>
  <si>
    <t>QC</t>
  </si>
  <si>
    <t>Total shifts</t>
  </si>
  <si>
    <t>Total Hours</t>
  </si>
  <si>
    <t>Saturday TechCentre</t>
  </si>
  <si>
    <t>Saturday Rounding</t>
  </si>
  <si>
    <t>S6 Rounding</t>
  </si>
  <si>
    <t>S6 QC</t>
  </si>
  <si>
    <t>AHMAD ARSAL KHAN</t>
  </si>
  <si>
    <t>AMOS ROSH</t>
  </si>
  <si>
    <t>AMR KHALED HAMID ANAAM</t>
  </si>
  <si>
    <t>ANAS AHMED SYED</t>
  </si>
  <si>
    <t>CHUA YI HUA</t>
  </si>
  <si>
    <t>DONALEY MAKARAWA</t>
  </si>
  <si>
    <t>GILBERT LAIS</t>
  </si>
  <si>
    <t>HENG CHEE SHENG</t>
  </si>
  <si>
    <t>HSU MYAT NOE AUNG</t>
  </si>
  <si>
    <t>LIM SEE HYEN</t>
  </si>
  <si>
    <t>LIN KHANT</t>
  </si>
  <si>
    <t>MAY NO NO AUNG</t>
  </si>
  <si>
    <t>MOHAMED NEYAZI ABBAS IZZULDIN</t>
  </si>
  <si>
    <t>MOHAMMED ARAF ANJUM</t>
  </si>
  <si>
    <t>MOURVEEN ISAAC AROLDAS</t>
  </si>
  <si>
    <t>RAAJVEER SINGH DHALIWAL</t>
  </si>
  <si>
    <t>Ramy Munif Kuwer</t>
  </si>
  <si>
    <t>Syed Muhammad Bilal Umar</t>
  </si>
  <si>
    <t>THU TA AUNG</t>
  </si>
  <si>
    <t>Thu Ta Tun</t>
  </si>
  <si>
    <t>ignore the legend</t>
  </si>
  <si>
    <t>TOHASHINEE MANOHUR</t>
  </si>
  <si>
    <t>LEGEND:</t>
  </si>
  <si>
    <t>Resignation</t>
  </si>
  <si>
    <t>Did not request any shifts</t>
  </si>
  <si>
    <t>Error or late in duty request</t>
  </si>
  <si>
    <t>Unable to request duty</t>
  </si>
  <si>
    <t>Test name</t>
  </si>
  <si>
    <t>Date</t>
  </si>
  <si>
    <t>Event</t>
  </si>
  <si>
    <t>Name</t>
  </si>
  <si>
    <t>Start Time</t>
  </si>
  <si>
    <t>End Time</t>
  </si>
  <si>
    <t>Items</t>
  </si>
  <si>
    <t>29/11/2025 - 11/30/2025</t>
  </si>
  <si>
    <t>Hackathon Workshop 101: How to Win a Hackathon from Scratch</t>
  </si>
  <si>
    <t>Nurul Nabihah Binti Muhamad Raduan / TP085347@mail.apu.edu.my</t>
  </si>
  <si>
    <t>S-08-02</t>
  </si>
  <si>
    <t>Projector x 2</t>
  </si>
  <si>
    <t>29/11/2025</t>
  </si>
  <si>
    <t>Blockchain 101 Bootcamp</t>
  </si>
  <si>
    <t>Ng Jian Ming / TP082047@mail.apu.edu.my</t>
  </si>
  <si>
    <t>E-09-03</t>
  </si>
  <si>
    <t>S-08-01 Projector x2</t>
  </si>
  <si>
    <t>S-08-02 Projector x2</t>
  </si>
  <si>
    <t>01/10/2025 - 12/5/2025</t>
  </si>
  <si>
    <t>ICN Promotional Booth</t>
  </si>
  <si>
    <t>Tanvir Ahmed Khan / 
tp082974@mail.apu.edu.my</t>
  </si>
  <si>
    <t>Atrium @ APU</t>
  </si>
  <si>
    <t>Projector Stand</t>
  </si>
  <si>
    <t>Projector Screen</t>
  </si>
  <si>
    <t>Deepavali Lunch</t>
  </si>
  <si>
    <t>Mr. Navien Rajendran (Admin Staff)</t>
  </si>
  <si>
    <t>Fine Dining Level 4</t>
  </si>
  <si>
    <t>29/11/2025 - 27/11/2025</t>
  </si>
  <si>
    <t>CC2 Promotional Booth</t>
  </si>
  <si>
    <t>Carl Eric Joseph Gideon / 0162432522
Supervisor: Ms. Neeshanti Rhamaroo</t>
  </si>
  <si>
    <t>Projector Stand x 2</t>
  </si>
  <si>
    <t>Projector Screen x 2</t>
  </si>
  <si>
    <t> </t>
  </si>
  <si>
    <t>Note:</t>
  </si>
  <si>
    <r>
      <t>= For</t>
    </r>
    <r>
      <rPr>
        <sz val="11"/>
        <color rgb="FF4EA72E"/>
        <rFont val="Calibri"/>
        <family val="2"/>
      </rPr>
      <t> </t>
    </r>
    <r>
      <rPr>
        <b/>
        <sz val="11"/>
        <color rgb="FF4EA72E"/>
        <rFont val="Calibri"/>
        <family val="2"/>
      </rPr>
      <t>Projector &amp; LED Screen</t>
    </r>
    <r>
      <rPr>
        <sz val="11"/>
        <color rgb="FF000000"/>
        <rFont val="Calibri"/>
        <family val="2"/>
      </rPr>
      <t>, kindly assist them to connect the screen as the equipment is already there.</t>
    </r>
  </si>
  <si>
    <r>
      <t xml:space="preserve">    = If they request to connect the displays with </t>
    </r>
    <r>
      <rPr>
        <b/>
        <sz val="11"/>
        <color rgb="FFFF0000"/>
        <rFont val="Calibri"/>
        <family val="2"/>
      </rPr>
      <t>Audio</t>
    </r>
    <r>
      <rPr>
        <sz val="11"/>
        <color rgb="FF000000"/>
        <rFont val="Calibri"/>
        <family val="2"/>
      </rPr>
      <t>, kindly contact the</t>
    </r>
    <r>
      <rPr>
        <b/>
        <sz val="11"/>
        <color rgb="FF000000"/>
        <rFont val="Calibri"/>
        <family val="2"/>
      </rPr>
      <t> </t>
    </r>
    <r>
      <rPr>
        <b/>
        <sz val="11"/>
        <color rgb="FFFF0000"/>
        <rFont val="Calibri"/>
        <family val="2"/>
      </rPr>
      <t>A/V Team</t>
    </r>
    <r>
      <rPr>
        <sz val="11"/>
        <color rgb="FF000000"/>
        <rFont val="Calibri"/>
        <family val="2"/>
      </rPr>
      <t> at extension number: </t>
    </r>
    <r>
      <rPr>
        <b/>
        <sz val="11"/>
        <color rgb="FFFF0000"/>
        <rFont val="Calibri"/>
        <family val="2"/>
      </rPr>
      <t>5291</t>
    </r>
    <r>
      <rPr>
        <sz val="11"/>
        <color rgb="FF000000"/>
        <rFont val="Calibri"/>
        <family val="2"/>
      </rPr>
      <t> for assistance.</t>
    </r>
  </si>
  <si>
    <r>
      <t>= For </t>
    </r>
    <r>
      <rPr>
        <b/>
        <sz val="11"/>
        <color rgb="FF61CBF3"/>
        <rFont val="Calibri"/>
        <family val="2"/>
      </rPr>
      <t>Projector Screen &amp; Projector Stand</t>
    </r>
    <r>
      <rPr>
        <sz val="11"/>
        <color rgb="FF000000"/>
        <rFont val="Calibri"/>
        <family val="2"/>
      </rPr>
      <t> to replace monitor requests. If the representative of the requester asks, kindly contact Mr. Akhil.</t>
    </r>
  </si>
  <si>
    <t xml:space="preserve">    = If there is no Projector Screen &amp; Projector Stand left to deploy, kindly contact any Top 3 member or Mr. Akhil for further action.</t>
  </si>
  <si>
    <r>
      <t>= For </t>
    </r>
    <r>
      <rPr>
        <b/>
        <sz val="11"/>
        <color rgb="FFF5D427"/>
        <rFont val="Calibri"/>
        <family val="2"/>
      </rPr>
      <t>Laser Pointer / Wireless Presenter</t>
    </r>
    <r>
      <rPr>
        <sz val="11"/>
        <color rgb="FF000000"/>
        <rFont val="Calibri"/>
        <family val="2"/>
      </rPr>
      <t>, kindly contact Mr. Akhil or Mr. Michael should they come to request it.</t>
    </r>
  </si>
  <si>
    <t>Standby From</t>
  </si>
  <si>
    <t>Standby Till</t>
  </si>
  <si>
    <t>TA On Standby</t>
  </si>
  <si>
    <t>TA On Standby 
(Next shift)</t>
  </si>
  <si>
    <t>Event actual start</t>
  </si>
  <si>
    <t xml:space="preserve">Additional Remarks </t>
  </si>
  <si>
    <t>Status</t>
  </si>
  <si>
    <t>Pending</t>
  </si>
  <si>
    <t>Please Refer to Events Planner on Teams for event standby requests</t>
  </si>
  <si>
    <t>Acknowledged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</si>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</sst>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9]d\-mmm\-yy;@"/>
    <numFmt numFmtId="166" formatCode="[$-409]dd\-mmm\-yy;@"/>
  </numFmts>
  <fonts count="50">
    <font>
      <sz val="11"/>
      <color theme="1"/>
      <name val="Calibri"/>
      <charset val="134"/>
      <scheme val="minor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sz val="9"/>
      <color rgb="FFFFFFFF"/>
      <name val="Calibri"/>
      <family val="2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sz val="18"/>
      <color rgb="FF000000"/>
      <name val="Calibri"/>
      <family val="2"/>
    </font>
    <font>
      <b/>
      <sz val="11"/>
      <color rgb="FF000000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sz val="8"/>
      <color rgb="FFFFFFFF"/>
      <name val="Calibri"/>
      <family val="2"/>
    </font>
    <font>
      <sz val="9"/>
      <color rgb="FF000000"/>
      <name val="Calibri"/>
      <family val="2"/>
      <charset val="134"/>
      <scheme val="minor"/>
    </font>
    <font>
      <b/>
      <sz val="9"/>
      <color rgb="FFFFFFFF"/>
      <name val="Calibri"/>
      <family val="2"/>
    </font>
    <font>
      <sz val="11"/>
      <color rgb="FF4EA72E"/>
      <name val="Calibri"/>
      <family val="2"/>
    </font>
    <font>
      <b/>
      <sz val="11"/>
      <color rgb="FF4EA72E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61CBF3"/>
      <name val="Calibri"/>
      <family val="2"/>
    </font>
    <font>
      <b/>
      <sz val="11"/>
      <color rgb="FFF5D427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charset val="134"/>
    </font>
    <font>
      <b/>
      <sz val="12"/>
      <color rgb="FFFFFFFF"/>
      <name val="Calibri"/>
      <family val="2"/>
    </font>
    <font>
      <sz val="12"/>
      <color theme="1"/>
      <name val="Calibri"/>
      <charset val="134"/>
      <scheme val="minor"/>
    </font>
    <font>
      <sz val="9"/>
      <color theme="1"/>
      <name val="Calibri"/>
      <family val="2"/>
      <charset val="134"/>
      <scheme val="minor"/>
    </font>
    <font>
      <sz val="9"/>
      <color rgb="FF000000"/>
      <name val="Calibri"/>
      <scheme val="minor"/>
    </font>
    <font>
      <sz val="9"/>
      <color rgb="FF000000"/>
      <name val="Calibri"/>
      <charset val="134"/>
      <scheme val="minor"/>
    </font>
    <font>
      <b/>
      <sz val="11"/>
      <color theme="0"/>
      <name val="Arial"/>
      <family val="2"/>
    </font>
    <font>
      <b/>
      <sz val="11"/>
      <color rgb="FF242424"/>
      <name val="Aptos Narrow"/>
      <charset val="1"/>
    </font>
    <font>
      <sz val="11"/>
      <color theme="1"/>
      <name val="Arial"/>
      <family val="2"/>
    </font>
    <font>
      <sz val="11"/>
      <color theme="1"/>
      <name val="Aptos Narrow"/>
    </font>
    <font>
      <u/>
      <sz val="11"/>
      <color theme="1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26"/>
      <color rgb="FF000000"/>
      <name val="Calibri"/>
    </font>
    <font>
      <b/>
      <sz val="9"/>
      <color rgb="FF000000"/>
      <name val="Calibri"/>
      <family val="2"/>
      <charset val="134"/>
      <scheme val="minor"/>
    </font>
    <font>
      <sz val="18"/>
      <color rgb="FF000000"/>
      <name val="Calibri"/>
      <family val="2"/>
      <charset val="134"/>
      <scheme val="minor"/>
    </font>
    <font>
      <sz val="12"/>
      <color rgb="FFFFFFFF"/>
      <name val="Calibri"/>
      <scheme val="minor"/>
    </font>
    <font>
      <sz val="12"/>
      <color theme="0"/>
      <name val="Calibri"/>
      <family val="2"/>
      <scheme val="minor"/>
    </font>
    <font>
      <sz val="12"/>
      <color theme="0"/>
      <name val="Calibri"/>
      <family val="2"/>
      <charset val="134"/>
      <scheme val="minor"/>
    </font>
    <font>
      <b/>
      <sz val="10"/>
      <color rgb="FFFFFFFF"/>
      <name val="Times"/>
    </font>
    <font>
      <sz val="10"/>
      <color theme="1"/>
      <name val="Times"/>
    </font>
    <font>
      <sz val="10"/>
      <color rgb="FF000000"/>
      <name val="Times"/>
    </font>
    <font>
      <u/>
      <sz val="10"/>
      <color theme="10"/>
      <name val="Times"/>
    </font>
    <font>
      <sz val="10"/>
      <color theme="0"/>
      <name val="Times"/>
    </font>
    <font>
      <b/>
      <sz val="10"/>
      <color theme="0"/>
      <name val="Times"/>
    </font>
    <font>
      <sz val="10"/>
      <name val="Times"/>
    </font>
    <font>
      <b/>
      <sz val="10"/>
      <color theme="1"/>
      <name val="Times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b/>
      <sz val="11"/>
      <color rgb="FF000000"/>
      <name val="Arial"/>
      <charset val="1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5D427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1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auto="1"/>
      </bottom>
      <diagonal/>
    </border>
    <border>
      <left style="medium">
        <color rgb="FF000000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indexed="64"/>
      </right>
      <top style="thin">
        <color auto="1"/>
      </top>
      <bottom style="medium">
        <color rgb="FF000000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auto="1"/>
      </top>
      <bottom/>
      <diagonal/>
    </border>
    <border>
      <left style="medium">
        <color rgb="FF000000"/>
      </left>
      <right style="thin">
        <color auto="1"/>
      </right>
      <top/>
      <bottom style="medium">
        <color indexed="64"/>
      </bottom>
      <diagonal/>
    </border>
    <border>
      <left style="medium">
        <color rgb="FF000000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1" fillId="0" borderId="0" applyNumberFormat="0" applyFill="0" applyBorder="0" applyAlignment="0" applyProtection="0"/>
  </cellStyleXfs>
  <cellXfs count="394">
    <xf numFmtId="0" fontId="0" fillId="0" borderId="0" xfId="0"/>
    <xf numFmtId="0" fontId="2" fillId="2" borderId="0" xfId="0" applyFont="1" applyFill="1" applyAlignment="1" applyProtection="1">
      <alignment horizontal="center" vertical="center"/>
      <protection locked="0"/>
    </xf>
    <xf numFmtId="1" fontId="4" fillId="7" borderId="0" xfId="1" applyNumberFormat="1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8" fillId="2" borderId="0" xfId="1" applyFont="1" applyFill="1" applyAlignment="1">
      <alignment horizontal="center" wrapText="1"/>
    </xf>
    <xf numFmtId="0" fontId="8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 vertical="center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wrapText="1"/>
    </xf>
    <xf numFmtId="0" fontId="4" fillId="4" borderId="13" xfId="0" applyFont="1" applyFill="1" applyBorder="1" applyAlignment="1" applyProtection="1">
      <alignment horizontal="center" vertical="center"/>
      <protection locked="0"/>
    </xf>
    <xf numFmtId="0" fontId="5" fillId="5" borderId="1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0" borderId="0" xfId="0" applyFont="1"/>
    <xf numFmtId="0" fontId="4" fillId="8" borderId="0" xfId="0" applyFont="1" applyFill="1"/>
    <xf numFmtId="0" fontId="17" fillId="0" borderId="0" xfId="0" applyFont="1"/>
    <xf numFmtId="0" fontId="15" fillId="0" borderId="0" xfId="0" applyFont="1"/>
    <xf numFmtId="0" fontId="15" fillId="0" borderId="0" xfId="0" quotePrefix="1" applyFont="1"/>
    <xf numFmtId="0" fontId="20" fillId="0" borderId="0" xfId="0" applyFont="1"/>
    <xf numFmtId="0" fontId="7" fillId="2" borderId="0" xfId="0" applyFont="1" applyFill="1"/>
    <xf numFmtId="0" fontId="4" fillId="8" borderId="0" xfId="0" applyFont="1" applyFill="1" applyAlignment="1">
      <alignment wrapText="1"/>
    </xf>
    <xf numFmtId="0" fontId="20" fillId="0" borderId="0" xfId="0" applyFont="1" applyAlignment="1">
      <alignment wrapText="1"/>
    </xf>
    <xf numFmtId="0" fontId="0" fillId="0" borderId="0" xfId="0" applyAlignment="1">
      <alignment wrapText="1"/>
    </xf>
    <xf numFmtId="0" fontId="21" fillId="0" borderId="0" xfId="0" applyFont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22" fillId="8" borderId="21" xfId="0" applyFont="1" applyFill="1" applyBorder="1" applyAlignment="1">
      <alignment horizontal="center" vertical="center"/>
    </xf>
    <xf numFmtId="0" fontId="22" fillId="8" borderId="22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164" fontId="3" fillId="3" borderId="11" xfId="0" applyNumberFormat="1" applyFont="1" applyFill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center" vertical="center"/>
    </xf>
    <xf numFmtId="0" fontId="9" fillId="10" borderId="0" xfId="0" applyFont="1" applyFill="1" applyAlignment="1">
      <alignment horizontal="center" vertical="center" wrapText="1"/>
    </xf>
    <xf numFmtId="0" fontId="0" fillId="9" borderId="0" xfId="0" applyFill="1"/>
    <xf numFmtId="0" fontId="9" fillId="11" borderId="0" xfId="0" applyFont="1" applyFill="1" applyAlignment="1">
      <alignment horizontal="center" vertical="center" wrapText="1"/>
    </xf>
    <xf numFmtId="15" fontId="4" fillId="0" borderId="0" xfId="0" applyNumberFormat="1" applyFont="1" applyAlignment="1">
      <alignment horizontal="center" vertical="center" wrapText="1"/>
    </xf>
    <xf numFmtId="0" fontId="4" fillId="4" borderId="11" xfId="0" applyFont="1" applyFill="1" applyBorder="1" applyAlignment="1" applyProtection="1">
      <alignment horizontal="center" vertical="center"/>
      <protection locked="0"/>
    </xf>
    <xf numFmtId="0" fontId="5" fillId="0" borderId="33" xfId="0" applyFont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4" fillId="4" borderId="44" xfId="0" applyFont="1" applyFill="1" applyBorder="1" applyAlignment="1" applyProtection="1">
      <alignment horizontal="center" vertical="center"/>
      <protection locked="0"/>
    </xf>
    <xf numFmtId="0" fontId="4" fillId="4" borderId="45" xfId="0" applyFont="1" applyFill="1" applyBorder="1" applyAlignment="1" applyProtection="1">
      <alignment horizontal="center" vertical="center"/>
      <protection locked="0"/>
    </xf>
    <xf numFmtId="0" fontId="5" fillId="5" borderId="46" xfId="0" applyFont="1" applyFill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0" fontId="4" fillId="4" borderId="52" xfId="0" applyFont="1" applyFill="1" applyBorder="1" applyAlignment="1" applyProtection="1">
      <alignment horizontal="center" vertical="center"/>
      <protection locked="0"/>
    </xf>
    <xf numFmtId="0" fontId="5" fillId="0" borderId="46" xfId="0" applyFont="1" applyBorder="1" applyAlignment="1">
      <alignment horizontal="center" vertical="center"/>
    </xf>
    <xf numFmtId="165" fontId="23" fillId="0" borderId="0" xfId="0" applyNumberFormat="1" applyFont="1"/>
    <xf numFmtId="0" fontId="1" fillId="0" borderId="0" xfId="0" applyFont="1"/>
    <xf numFmtId="0" fontId="5" fillId="5" borderId="0" xfId="0" applyFont="1" applyFill="1" applyAlignment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1" fillId="2" borderId="0" xfId="0" applyFont="1" applyFill="1"/>
    <xf numFmtId="0" fontId="8" fillId="2" borderId="0" xfId="1" applyFont="1" applyFill="1"/>
    <xf numFmtId="0" fontId="5" fillId="2" borderId="0" xfId="0" applyFont="1" applyFill="1" applyAlignment="1">
      <alignment horizontal="center" vertical="center"/>
    </xf>
    <xf numFmtId="0" fontId="4" fillId="4" borderId="30" xfId="0" applyFont="1" applyFill="1" applyBorder="1" applyAlignment="1" applyProtection="1">
      <alignment horizontal="center" vertical="center"/>
      <protection locked="0"/>
    </xf>
    <xf numFmtId="0" fontId="5" fillId="5" borderId="3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64" xfId="0" applyFont="1" applyBorder="1" applyAlignment="1">
      <alignment horizontal="center" vertical="center"/>
    </xf>
    <xf numFmtId="0" fontId="4" fillId="4" borderId="38" xfId="0" applyFont="1" applyFill="1" applyBorder="1" applyAlignment="1" applyProtection="1">
      <alignment horizontal="center" vertical="center"/>
      <protection locked="0"/>
    </xf>
    <xf numFmtId="0" fontId="22" fillId="8" borderId="5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5" borderId="46" xfId="0" applyFont="1" applyFill="1" applyBorder="1" applyAlignment="1">
      <alignment horizontal="center" vertical="center"/>
    </xf>
    <xf numFmtId="0" fontId="11" fillId="5" borderId="47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1" fillId="5" borderId="0" xfId="0" applyFont="1" applyFill="1" applyAlignment="1">
      <alignment vertical="center"/>
    </xf>
    <xf numFmtId="0" fontId="11" fillId="0" borderId="28" xfId="0" applyFont="1" applyBorder="1" applyAlignment="1">
      <alignment horizontal="center" vertical="center"/>
    </xf>
    <xf numFmtId="0" fontId="24" fillId="2" borderId="0" xfId="1" applyFont="1" applyFill="1" applyAlignment="1">
      <alignment horizontal="center" wrapText="1"/>
    </xf>
    <xf numFmtId="0" fontId="24" fillId="2" borderId="0" xfId="1" applyFont="1" applyFill="1" applyAlignment="1">
      <alignment horizontal="center"/>
    </xf>
    <xf numFmtId="0" fontId="24" fillId="2" borderId="0" xfId="1" applyFont="1" applyFill="1"/>
    <xf numFmtId="1" fontId="11" fillId="7" borderId="0" xfId="1" applyNumberFormat="1" applyFont="1" applyFill="1" applyAlignment="1" applyProtection="1">
      <alignment horizontal="center" vertical="center"/>
      <protection locked="0"/>
    </xf>
    <xf numFmtId="0" fontId="24" fillId="2" borderId="0" xfId="1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0" fontId="27" fillId="2" borderId="0" xfId="0" applyFont="1" applyFill="1"/>
    <xf numFmtId="0" fontId="28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22" fillId="8" borderId="21" xfId="0" applyFont="1" applyFill="1" applyBorder="1" applyAlignment="1">
      <alignment horizontal="center" vertical="center" wrapText="1"/>
    </xf>
    <xf numFmtId="0" fontId="11" fillId="5" borderId="73" xfId="0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/>
    </xf>
    <xf numFmtId="164" fontId="10" fillId="3" borderId="12" xfId="0" applyNumberFormat="1" applyFont="1" applyFill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/>
    </xf>
    <xf numFmtId="0" fontId="12" fillId="8" borderId="23" xfId="0" applyFont="1" applyFill="1" applyBorder="1" applyAlignment="1">
      <alignment horizontal="center" vertical="center"/>
    </xf>
    <xf numFmtId="0" fontId="12" fillId="8" borderId="24" xfId="0" applyFont="1" applyFill="1" applyBorder="1" applyAlignment="1">
      <alignment horizontal="center" vertical="center"/>
    </xf>
    <xf numFmtId="0" fontId="12" fillId="8" borderId="24" xfId="0" applyFont="1" applyFill="1" applyBorder="1" applyAlignment="1">
      <alignment horizontal="center" vertical="center" wrapText="1"/>
    </xf>
    <xf numFmtId="0" fontId="12" fillId="8" borderId="25" xfId="0" applyFont="1" applyFill="1" applyBorder="1" applyAlignment="1">
      <alignment horizontal="center" vertical="center"/>
    </xf>
    <xf numFmtId="0" fontId="4" fillId="4" borderId="41" xfId="0" applyFont="1" applyFill="1" applyBorder="1" applyAlignment="1" applyProtection="1">
      <alignment horizontal="center" vertical="center"/>
      <protection locked="0"/>
    </xf>
    <xf numFmtId="164" fontId="9" fillId="6" borderId="78" xfId="0" applyNumberFormat="1" applyFont="1" applyFill="1" applyBorder="1" applyAlignment="1">
      <alignment horizontal="center" vertical="center"/>
    </xf>
    <xf numFmtId="164" fontId="9" fillId="6" borderId="75" xfId="0" applyNumberFormat="1" applyFont="1" applyFill="1" applyBorder="1" applyAlignment="1">
      <alignment horizontal="center" vertical="center"/>
    </xf>
    <xf numFmtId="0" fontId="4" fillId="4" borderId="76" xfId="0" applyFont="1" applyFill="1" applyBorder="1" applyAlignment="1" applyProtection="1">
      <alignment horizontal="center" vertical="center"/>
      <protection locked="0"/>
    </xf>
    <xf numFmtId="0" fontId="4" fillId="4" borderId="79" xfId="0" applyFont="1" applyFill="1" applyBorder="1" applyAlignment="1" applyProtection="1">
      <alignment horizontal="center" vertical="center"/>
      <protection locked="0"/>
    </xf>
    <xf numFmtId="0" fontId="26" fillId="2" borderId="32" xfId="0" applyFont="1" applyFill="1" applyBorder="1" applyAlignment="1">
      <alignment horizontal="center"/>
    </xf>
    <xf numFmtId="0" fontId="4" fillId="4" borderId="24" xfId="0" applyFont="1" applyFill="1" applyBorder="1" applyAlignment="1" applyProtection="1">
      <alignment horizontal="center" vertical="center"/>
      <protection locked="0"/>
    </xf>
    <xf numFmtId="164" fontId="3" fillId="3" borderId="32" xfId="0" applyNumberFormat="1" applyFont="1" applyFill="1" applyBorder="1" applyAlignment="1" applyProtection="1">
      <alignment horizontal="center" vertical="center"/>
      <protection locked="0"/>
    </xf>
    <xf numFmtId="164" fontId="10" fillId="3" borderId="68" xfId="0" applyNumberFormat="1" applyFont="1" applyFill="1" applyBorder="1" applyAlignment="1">
      <alignment horizontal="center" vertical="center"/>
    </xf>
    <xf numFmtId="0" fontId="5" fillId="6" borderId="82" xfId="0" applyFont="1" applyFill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20" fontId="5" fillId="0" borderId="84" xfId="0" applyNumberFormat="1" applyFont="1" applyBorder="1" applyAlignment="1">
      <alignment horizontal="center" vertical="center"/>
    </xf>
    <xf numFmtId="0" fontId="5" fillId="6" borderId="86" xfId="0" applyFont="1" applyFill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5" fillId="0" borderId="33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/>
    </xf>
    <xf numFmtId="0" fontId="4" fillId="4" borderId="42" xfId="0" applyFont="1" applyFill="1" applyBorder="1" applyAlignment="1" applyProtection="1">
      <alignment horizontal="center" vertical="center"/>
      <protection locked="0"/>
    </xf>
    <xf numFmtId="0" fontId="5" fillId="0" borderId="42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164" fontId="9" fillId="6" borderId="104" xfId="0" applyNumberFormat="1" applyFont="1" applyFill="1" applyBorder="1" applyAlignment="1">
      <alignment horizontal="center" vertical="center"/>
    </xf>
    <xf numFmtId="0" fontId="4" fillId="2" borderId="105" xfId="0" applyFont="1" applyFill="1" applyBorder="1" applyAlignment="1" applyProtection="1">
      <alignment horizontal="center" vertical="center"/>
      <protection locked="0"/>
    </xf>
    <xf numFmtId="0" fontId="4" fillId="2" borderId="106" xfId="0" applyFont="1" applyFill="1" applyBorder="1" applyAlignment="1" applyProtection="1">
      <alignment horizontal="center" vertical="center"/>
      <protection locked="0"/>
    </xf>
    <xf numFmtId="0" fontId="4" fillId="2" borderId="107" xfId="0" applyFont="1" applyFill="1" applyBorder="1" applyAlignment="1" applyProtection="1">
      <alignment horizontal="center" vertical="center"/>
      <protection locked="0"/>
    </xf>
    <xf numFmtId="0" fontId="4" fillId="2" borderId="108" xfId="0" applyFont="1" applyFill="1" applyBorder="1" applyAlignment="1" applyProtection="1">
      <alignment horizontal="center" vertical="center"/>
      <protection locked="0"/>
    </xf>
    <xf numFmtId="0" fontId="5" fillId="0" borderId="51" xfId="0" applyFont="1" applyBorder="1" applyAlignment="1">
      <alignment horizontal="center" vertical="center"/>
    </xf>
    <xf numFmtId="164" fontId="9" fillId="6" borderId="109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11" fillId="6" borderId="111" xfId="0" applyFont="1" applyFill="1" applyBorder="1" applyAlignment="1">
      <alignment horizontal="center" vertical="center"/>
    </xf>
    <xf numFmtId="0" fontId="34" fillId="2" borderId="112" xfId="0" applyFont="1" applyFill="1" applyBorder="1" applyAlignment="1">
      <alignment horizontal="center" vertical="center"/>
    </xf>
    <xf numFmtId="20" fontId="11" fillId="0" borderId="36" xfId="0" applyNumberFormat="1" applyFont="1" applyBorder="1" applyAlignment="1">
      <alignment horizontal="center" vertical="center"/>
    </xf>
    <xf numFmtId="0" fontId="11" fillId="6" borderId="113" xfId="0" applyFont="1" applyFill="1" applyBorder="1" applyAlignment="1">
      <alignment horizontal="center" vertical="center"/>
    </xf>
    <xf numFmtId="166" fontId="0" fillId="0" borderId="33" xfId="0" applyNumberFormat="1" applyBorder="1" applyAlignment="1">
      <alignment horizontal="center" vertical="center" wrapText="1"/>
    </xf>
    <xf numFmtId="0" fontId="26" fillId="0" borderId="34" xfId="0" applyFont="1" applyBorder="1" applyAlignment="1">
      <alignment horizontal="center"/>
    </xf>
    <xf numFmtId="0" fontId="26" fillId="0" borderId="72" xfId="0" applyFont="1" applyBorder="1" applyAlignment="1">
      <alignment horizontal="center"/>
    </xf>
    <xf numFmtId="0" fontId="26" fillId="0" borderId="50" xfId="0" applyFont="1" applyBorder="1" applyAlignment="1">
      <alignment horizontal="center"/>
    </xf>
    <xf numFmtId="0" fontId="26" fillId="0" borderId="39" xfId="0" applyFont="1" applyBorder="1" applyAlignment="1">
      <alignment horizontal="center"/>
    </xf>
    <xf numFmtId="0" fontId="26" fillId="0" borderId="74" xfId="0" applyFont="1" applyBorder="1" applyAlignment="1">
      <alignment horizontal="center"/>
    </xf>
    <xf numFmtId="0" fontId="25" fillId="0" borderId="80" xfId="0" applyFont="1" applyBorder="1" applyAlignment="1">
      <alignment horizontal="center"/>
    </xf>
    <xf numFmtId="0" fontId="5" fillId="0" borderId="47" xfId="0" applyFont="1" applyBorder="1" applyAlignment="1">
      <alignment horizontal="center" vertical="center"/>
    </xf>
    <xf numFmtId="0" fontId="4" fillId="14" borderId="24" xfId="0" applyFont="1" applyFill="1" applyBorder="1" applyAlignment="1" applyProtection="1">
      <alignment horizontal="center" vertical="center"/>
      <protection locked="0"/>
    </xf>
    <xf numFmtId="0" fontId="38" fillId="0" borderId="33" xfId="0" applyFont="1" applyBorder="1" applyAlignment="1">
      <alignment vertical="center"/>
    </xf>
    <xf numFmtId="0" fontId="37" fillId="0" borderId="33" xfId="0" applyFont="1" applyBorder="1" applyAlignment="1">
      <alignment vertical="center"/>
    </xf>
    <xf numFmtId="0" fontId="4" fillId="4" borderId="23" xfId="0" applyFont="1" applyFill="1" applyBorder="1" applyAlignment="1" applyProtection="1">
      <alignment horizontal="center" vertical="center"/>
      <protection locked="0"/>
    </xf>
    <xf numFmtId="0" fontId="4" fillId="4" borderId="25" xfId="0" applyFont="1" applyFill="1" applyBorder="1" applyAlignment="1" applyProtection="1">
      <alignment horizontal="center" vertical="center"/>
      <protection locked="0"/>
    </xf>
    <xf numFmtId="0" fontId="11" fillId="0" borderId="33" xfId="0" applyFont="1" applyBorder="1" applyAlignment="1">
      <alignment horizontal="center" vertical="center" wrapText="1"/>
    </xf>
    <xf numFmtId="0" fontId="39" fillId="8" borderId="0" xfId="0" applyFont="1" applyFill="1"/>
    <xf numFmtId="0" fontId="40" fillId="0" borderId="0" xfId="0" applyFont="1"/>
    <xf numFmtId="0" fontId="41" fillId="15" borderId="0" xfId="0" applyFont="1" applyFill="1" applyAlignment="1">
      <alignment wrapText="1"/>
    </xf>
    <xf numFmtId="0" fontId="41" fillId="15" borderId="0" xfId="0" applyFont="1" applyFill="1" applyAlignment="1">
      <alignment horizontal="center" vertical="center" wrapText="1"/>
    </xf>
    <xf numFmtId="0" fontId="41" fillId="15" borderId="0" xfId="0" applyFont="1" applyFill="1"/>
    <xf numFmtId="0" fontId="41" fillId="0" borderId="0" xfId="0" applyFont="1" applyAlignment="1">
      <alignment wrapText="1"/>
    </xf>
    <xf numFmtId="0" fontId="41" fillId="0" borderId="0" xfId="0" applyFont="1" applyAlignment="1">
      <alignment horizontal="center" vertical="center" wrapText="1"/>
    </xf>
    <xf numFmtId="0" fontId="41" fillId="0" borderId="0" xfId="0" applyFont="1"/>
    <xf numFmtId="0" fontId="42" fillId="15" borderId="0" xfId="2" applyFont="1" applyFill="1"/>
    <xf numFmtId="0" fontId="42" fillId="0" borderId="0" xfId="2" applyFont="1"/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0" fillId="0" borderId="89" xfId="0" applyFont="1" applyBorder="1"/>
    <xf numFmtId="0" fontId="40" fillId="0" borderId="90" xfId="0" applyFont="1" applyBorder="1"/>
    <xf numFmtId="0" fontId="43" fillId="17" borderId="92" xfId="0" applyFont="1" applyFill="1" applyBorder="1"/>
    <xf numFmtId="0" fontId="43" fillId="17" borderId="93" xfId="0" applyFont="1" applyFill="1" applyBorder="1"/>
    <xf numFmtId="0" fontId="44" fillId="17" borderId="93" xfId="0" applyFont="1" applyFill="1" applyBorder="1" applyAlignment="1">
      <alignment horizontal="center" vertical="center"/>
    </xf>
    <xf numFmtId="0" fontId="44" fillId="17" borderId="94" xfId="0" applyFont="1" applyFill="1" applyBorder="1" applyAlignment="1">
      <alignment horizontal="center" vertical="center"/>
    </xf>
    <xf numFmtId="0" fontId="44" fillId="17" borderId="91" xfId="0" applyFont="1" applyFill="1" applyBorder="1" applyAlignment="1">
      <alignment horizontal="center" vertical="center"/>
    </xf>
    <xf numFmtId="0" fontId="46" fillId="0" borderId="33" xfId="0" applyFont="1" applyBorder="1" applyAlignment="1">
      <alignment horizontal="center" vertical="center"/>
    </xf>
    <xf numFmtId="0" fontId="40" fillId="0" borderId="33" xfId="0" applyFont="1" applyBorder="1" applyAlignment="1">
      <alignment horizontal="center"/>
    </xf>
    <xf numFmtId="0" fontId="40" fillId="0" borderId="20" xfId="0" applyFont="1" applyBorder="1" applyAlignment="1">
      <alignment horizontal="center" wrapText="1"/>
    </xf>
    <xf numFmtId="0" fontId="40" fillId="0" borderId="91" xfId="0" applyFont="1" applyBorder="1" applyAlignment="1">
      <alignment horizontal="center"/>
    </xf>
    <xf numFmtId="0" fontId="45" fillId="0" borderId="33" xfId="0" applyFont="1" applyBorder="1" applyAlignment="1">
      <alignment horizontal="left"/>
    </xf>
    <xf numFmtId="0" fontId="40" fillId="18" borderId="0" xfId="0" applyFont="1" applyFill="1"/>
    <xf numFmtId="0" fontId="40" fillId="19" borderId="0" xfId="0" applyFont="1" applyFill="1"/>
    <xf numFmtId="0" fontId="45" fillId="0" borderId="53" xfId="0" applyFont="1" applyBorder="1" applyAlignment="1">
      <alignment horizontal="left"/>
    </xf>
    <xf numFmtId="0" fontId="40" fillId="20" borderId="0" xfId="0" applyFont="1" applyFill="1"/>
    <xf numFmtId="0" fontId="40" fillId="0" borderId="96" xfId="0" applyFont="1" applyBorder="1" applyAlignment="1">
      <alignment horizontal="center"/>
    </xf>
    <xf numFmtId="0" fontId="40" fillId="0" borderId="97" xfId="0" applyFont="1" applyBorder="1" applyAlignment="1">
      <alignment horizontal="center"/>
    </xf>
    <xf numFmtId="0" fontId="46" fillId="0" borderId="98" xfId="0" applyFont="1" applyBorder="1" applyAlignment="1">
      <alignment horizontal="center"/>
    </xf>
    <xf numFmtId="0" fontId="46" fillId="0" borderId="56" xfId="0" applyFont="1" applyBorder="1" applyAlignment="1">
      <alignment horizontal="center"/>
    </xf>
    <xf numFmtId="0" fontId="46" fillId="0" borderId="36" xfId="0" applyFont="1" applyBorder="1" applyAlignment="1">
      <alignment horizontal="center"/>
    </xf>
    <xf numFmtId="0" fontId="40" fillId="0" borderId="36" xfId="0" applyFont="1" applyBorder="1" applyAlignment="1">
      <alignment horizontal="center"/>
    </xf>
    <xf numFmtId="0" fontId="40" fillId="21" borderId="0" xfId="0" applyFont="1" applyFill="1"/>
    <xf numFmtId="0" fontId="40" fillId="2" borderId="0" xfId="0" applyFont="1" applyFill="1"/>
    <xf numFmtId="0" fontId="40" fillId="0" borderId="57" xfId="0" applyFont="1" applyBorder="1"/>
    <xf numFmtId="0" fontId="4" fillId="4" borderId="33" xfId="0" applyFont="1" applyFill="1" applyBorder="1" applyAlignment="1" applyProtection="1">
      <alignment horizontal="center" vertical="center"/>
      <protection locked="0"/>
    </xf>
    <xf numFmtId="0" fontId="11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6" fillId="14" borderId="39" xfId="0" applyFont="1" applyFill="1" applyBorder="1" applyAlignment="1">
      <alignment horizontal="center" vertical="center"/>
    </xf>
    <xf numFmtId="0" fontId="26" fillId="0" borderId="32" xfId="0" applyFont="1" applyBorder="1" applyAlignment="1">
      <alignment horizontal="center"/>
    </xf>
    <xf numFmtId="0" fontId="11" fillId="0" borderId="56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15" fontId="0" fillId="0" borderId="33" xfId="0" applyNumberForma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21" fontId="32" fillId="0" borderId="33" xfId="0" applyNumberFormat="1" applyFont="1" applyBorder="1" applyAlignment="1">
      <alignment horizontal="center" vertical="center" wrapText="1"/>
    </xf>
    <xf numFmtId="21" fontId="0" fillId="0" borderId="33" xfId="0" applyNumberFormat="1" applyBorder="1" applyAlignment="1">
      <alignment horizontal="center" vertical="center" wrapText="1"/>
    </xf>
    <xf numFmtId="0" fontId="26" fillId="0" borderId="65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40" fillId="18" borderId="33" xfId="0" applyFont="1" applyFill="1" applyBorder="1" applyAlignment="1">
      <alignment horizontal="center"/>
    </xf>
    <xf numFmtId="0" fontId="40" fillId="23" borderId="33" xfId="0" applyFont="1" applyFill="1" applyBorder="1" applyAlignment="1">
      <alignment horizontal="center"/>
    </xf>
    <xf numFmtId="0" fontId="40" fillId="2" borderId="33" xfId="0" applyFont="1" applyFill="1" applyBorder="1" applyAlignment="1">
      <alignment horizontal="center"/>
    </xf>
    <xf numFmtId="0" fontId="45" fillId="2" borderId="33" xfId="0" applyFont="1" applyFill="1" applyBorder="1"/>
    <xf numFmtId="0" fontId="46" fillId="2" borderId="33" xfId="0" applyFont="1" applyFill="1" applyBorder="1" applyAlignment="1">
      <alignment horizontal="center" vertical="center"/>
    </xf>
    <xf numFmtId="0" fontId="40" fillId="2" borderId="20" xfId="0" applyFont="1" applyFill="1" applyBorder="1" applyAlignment="1">
      <alignment horizontal="center" wrapText="1"/>
    </xf>
    <xf numFmtId="0" fontId="40" fillId="2" borderId="91" xfId="0" applyFont="1" applyFill="1" applyBorder="1" applyAlignment="1">
      <alignment horizontal="center"/>
    </xf>
    <xf numFmtId="0" fontId="45" fillId="2" borderId="33" xfId="0" applyFont="1" applyFill="1" applyBorder="1" applyAlignment="1">
      <alignment horizontal="left"/>
    </xf>
    <xf numFmtId="0" fontId="46" fillId="2" borderId="34" xfId="0" applyFont="1" applyFill="1" applyBorder="1" applyAlignment="1">
      <alignment horizontal="center" vertical="center"/>
    </xf>
    <xf numFmtId="0" fontId="46" fillId="2" borderId="53" xfId="0" applyFont="1" applyFill="1" applyBorder="1" applyAlignment="1">
      <alignment horizontal="center" vertical="center"/>
    </xf>
    <xf numFmtId="15" fontId="0" fillId="0" borderId="54" xfId="0" applyNumberFormat="1" applyBorder="1" applyAlignment="1">
      <alignment horizontal="center" vertical="center" wrapText="1"/>
    </xf>
    <xf numFmtId="166" fontId="0" fillId="0" borderId="54" xfId="0" applyNumberForma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21" fontId="32" fillId="0" borderId="54" xfId="0" applyNumberFormat="1" applyFont="1" applyBorder="1" applyAlignment="1">
      <alignment horizontal="center" vertical="center" wrapText="1"/>
    </xf>
    <xf numFmtId="21" fontId="0" fillId="0" borderId="54" xfId="0" applyNumberFormat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/>
    </xf>
    <xf numFmtId="0" fontId="15" fillId="10" borderId="33" xfId="0" applyFont="1" applyFill="1" applyBorder="1" applyAlignment="1">
      <alignment horizontal="center" vertical="center" wrapText="1"/>
    </xf>
    <xf numFmtId="0" fontId="26" fillId="0" borderId="30" xfId="0" applyFont="1" applyBorder="1" applyAlignment="1">
      <alignment horizontal="center"/>
    </xf>
    <xf numFmtId="0" fontId="26" fillId="0" borderId="51" xfId="0" applyFont="1" applyBorder="1" applyAlignment="1">
      <alignment horizontal="center"/>
    </xf>
    <xf numFmtId="0" fontId="26" fillId="0" borderId="53" xfId="0" applyFont="1" applyBorder="1" applyAlignment="1">
      <alignment horizontal="center"/>
    </xf>
    <xf numFmtId="0" fontId="48" fillId="0" borderId="33" xfId="0" applyFont="1" applyBorder="1" applyAlignment="1">
      <alignment horizontal="center"/>
    </xf>
    <xf numFmtId="0" fontId="26" fillId="2" borderId="69" xfId="0" applyFont="1" applyFill="1" applyBorder="1" applyAlignment="1">
      <alignment horizontal="center"/>
    </xf>
    <xf numFmtId="0" fontId="26" fillId="2" borderId="33" xfId="0" applyFont="1" applyFill="1" applyBorder="1" applyAlignment="1">
      <alignment horizontal="center"/>
    </xf>
    <xf numFmtId="0" fontId="26" fillId="0" borderId="35" xfId="0" applyFont="1" applyBorder="1" applyAlignment="1">
      <alignment horizontal="center"/>
    </xf>
    <xf numFmtId="0" fontId="26" fillId="0" borderId="54" xfId="0" applyFont="1" applyBorder="1" applyAlignment="1">
      <alignment horizontal="center"/>
    </xf>
    <xf numFmtId="0" fontId="4" fillId="4" borderId="116" xfId="0" applyFont="1" applyFill="1" applyBorder="1" applyAlignment="1" applyProtection="1">
      <alignment horizontal="center" vertical="center"/>
      <protection locked="0"/>
    </xf>
    <xf numFmtId="0" fontId="26" fillId="2" borderId="58" xfId="0" applyFont="1" applyFill="1" applyBorder="1" applyAlignment="1">
      <alignment horizontal="center"/>
    </xf>
    <xf numFmtId="0" fontId="26" fillId="0" borderId="77" xfId="0" applyFont="1" applyBorder="1" applyAlignment="1">
      <alignment horizontal="center"/>
    </xf>
    <xf numFmtId="0" fontId="4" fillId="4" borderId="117" xfId="0" applyFont="1" applyFill="1" applyBorder="1" applyAlignment="1" applyProtection="1">
      <alignment horizontal="center" vertical="center"/>
      <protection locked="0"/>
    </xf>
    <xf numFmtId="0" fontId="11" fillId="5" borderId="118" xfId="0" applyFont="1" applyFill="1" applyBorder="1" applyAlignment="1">
      <alignment horizontal="center" vertical="center"/>
    </xf>
    <xf numFmtId="0" fontId="11" fillId="5" borderId="119" xfId="0" applyFont="1" applyFill="1" applyBorder="1" applyAlignment="1">
      <alignment horizontal="center" vertical="center"/>
    </xf>
    <xf numFmtId="0" fontId="11" fillId="5" borderId="120" xfId="0" applyFont="1" applyFill="1" applyBorder="1" applyAlignment="1">
      <alignment horizontal="center" vertical="center"/>
    </xf>
    <xf numFmtId="0" fontId="26" fillId="0" borderId="114" xfId="0" applyFont="1" applyBorder="1" applyAlignment="1">
      <alignment horizontal="center"/>
    </xf>
    <xf numFmtId="0" fontId="26" fillId="0" borderId="69" xfId="0" applyFont="1" applyBorder="1" applyAlignment="1">
      <alignment horizontal="center"/>
    </xf>
    <xf numFmtId="0" fontId="4" fillId="4" borderId="122" xfId="0" applyFont="1" applyFill="1" applyBorder="1" applyAlignment="1" applyProtection="1">
      <alignment horizontal="center" vertical="center"/>
      <protection locked="0"/>
    </xf>
    <xf numFmtId="0" fontId="11" fillId="0" borderId="54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4" fillId="4" borderId="123" xfId="0" applyFont="1" applyFill="1" applyBorder="1" applyAlignment="1" applyProtection="1">
      <alignment horizontal="center" vertical="center"/>
      <protection locked="0"/>
    </xf>
    <xf numFmtId="0" fontId="26" fillId="2" borderId="114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 vertical="center"/>
    </xf>
    <xf numFmtId="0" fontId="4" fillId="4" borderId="108" xfId="0" applyFont="1" applyFill="1" applyBorder="1" applyAlignment="1" applyProtection="1">
      <alignment horizontal="center" vertical="center"/>
      <protection locked="0"/>
    </xf>
    <xf numFmtId="0" fontId="11" fillId="5" borderId="124" xfId="0" applyFont="1" applyFill="1" applyBorder="1" applyAlignment="1">
      <alignment horizontal="center" vertical="center"/>
    </xf>
    <xf numFmtId="0" fontId="11" fillId="5" borderId="99" xfId="0" applyFont="1" applyFill="1" applyBorder="1" applyAlignment="1">
      <alignment horizontal="center" vertical="center"/>
    </xf>
    <xf numFmtId="0" fontId="26" fillId="0" borderId="42" xfId="0" applyFont="1" applyBorder="1" applyAlignment="1">
      <alignment horizontal="center"/>
    </xf>
    <xf numFmtId="0" fontId="42" fillId="15" borderId="0" xfId="2" applyFont="1" applyFill="1" applyAlignment="1"/>
    <xf numFmtId="0" fontId="39" fillId="8" borderId="0" xfId="0" applyFont="1" applyFill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88" xfId="0" applyFont="1" applyBorder="1" applyAlignment="1">
      <alignment horizontal="center" vertical="center" wrapText="1"/>
    </xf>
    <xf numFmtId="0" fontId="40" fillId="17" borderId="0" xfId="0" applyFont="1" applyFill="1" applyAlignment="1">
      <alignment horizontal="center" vertical="center" wrapText="1"/>
    </xf>
    <xf numFmtId="0" fontId="40" fillId="0" borderId="38" xfId="0" applyFont="1" applyBorder="1" applyAlignment="1">
      <alignment horizontal="center" vertical="center" wrapText="1"/>
    </xf>
    <xf numFmtId="0" fontId="45" fillId="19" borderId="30" xfId="0" applyFont="1" applyFill="1" applyBorder="1" applyAlignment="1">
      <alignment vertical="center" wrapText="1"/>
    </xf>
    <xf numFmtId="0" fontId="45" fillId="18" borderId="30" xfId="0" applyFont="1" applyFill="1" applyBorder="1" applyAlignment="1">
      <alignment vertical="center" wrapText="1"/>
    </xf>
    <xf numFmtId="0" fontId="45" fillId="20" borderId="30" xfId="0" applyFont="1" applyFill="1" applyBorder="1" applyAlignment="1">
      <alignment horizontal="left" vertical="center" wrapText="1"/>
    </xf>
    <xf numFmtId="0" fontId="45" fillId="19" borderId="30" xfId="0" applyFont="1" applyFill="1" applyBorder="1" applyAlignment="1">
      <alignment horizontal="left" vertical="center" wrapText="1"/>
    </xf>
    <xf numFmtId="0" fontId="45" fillId="2" borderId="30" xfId="0" applyFont="1" applyFill="1" applyBorder="1" applyAlignment="1">
      <alignment horizontal="left" vertical="center" wrapText="1"/>
    </xf>
    <xf numFmtId="0" fontId="45" fillId="18" borderId="30" xfId="0" applyFont="1" applyFill="1" applyBorder="1" applyAlignment="1">
      <alignment horizontal="left" vertical="center" wrapText="1"/>
    </xf>
    <xf numFmtId="0" fontId="45" fillId="2" borderId="51" xfId="0" applyFont="1" applyFill="1" applyBorder="1" applyAlignment="1">
      <alignment horizontal="left" vertical="center" wrapText="1"/>
    </xf>
    <xf numFmtId="0" fontId="40" fillId="0" borderId="95" xfId="0" applyFont="1" applyBorder="1" applyAlignment="1">
      <alignment horizontal="center" vertical="center" wrapText="1"/>
    </xf>
    <xf numFmtId="166" fontId="0" fillId="0" borderId="53" xfId="0" applyNumberFormat="1" applyBorder="1" applyAlignment="1">
      <alignment horizontal="center" vertical="center" wrapText="1"/>
    </xf>
    <xf numFmtId="15" fontId="0" fillId="0" borderId="53" xfId="0" applyNumberForma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21" fontId="32" fillId="0" borderId="53" xfId="0" applyNumberFormat="1" applyFont="1" applyBorder="1" applyAlignment="1">
      <alignment horizontal="center" vertical="center" wrapText="1"/>
    </xf>
    <xf numFmtId="21" fontId="0" fillId="0" borderId="53" xfId="0" applyNumberFormat="1" applyBorder="1" applyAlignment="1">
      <alignment horizontal="center" vertical="center" wrapText="1"/>
    </xf>
    <xf numFmtId="0" fontId="47" fillId="24" borderId="33" xfId="0" applyFont="1" applyFill="1" applyBorder="1" applyAlignment="1">
      <alignment horizontal="center" vertical="center" wrapText="1"/>
    </xf>
    <xf numFmtId="0" fontId="15" fillId="24" borderId="53" xfId="0" applyFont="1" applyFill="1" applyBorder="1" applyAlignment="1">
      <alignment horizontal="center" vertical="center" wrapText="1"/>
    </xf>
    <xf numFmtId="0" fontId="48" fillId="24" borderId="33" xfId="0" applyFont="1" applyFill="1" applyBorder="1" applyAlignment="1">
      <alignment horizontal="center"/>
    </xf>
    <xf numFmtId="21" fontId="15" fillId="10" borderId="54" xfId="0" applyNumberFormat="1" applyFont="1" applyFill="1" applyBorder="1" applyAlignment="1">
      <alignment horizontal="center" vertical="center" wrapText="1"/>
    </xf>
    <xf numFmtId="0" fontId="26" fillId="2" borderId="42" xfId="0" applyFont="1" applyFill="1" applyBorder="1" applyAlignment="1">
      <alignment horizontal="center"/>
    </xf>
    <xf numFmtId="0" fontId="26" fillId="2" borderId="54" xfId="0" applyFont="1" applyFill="1" applyBorder="1" applyAlignment="1">
      <alignment horizontal="center"/>
    </xf>
    <xf numFmtId="0" fontId="26" fillId="16" borderId="22" xfId="0" applyFont="1" applyFill="1" applyBorder="1" applyAlignment="1">
      <alignment horizontal="center"/>
    </xf>
    <xf numFmtId="0" fontId="26" fillId="16" borderId="59" xfId="0" applyFont="1" applyFill="1" applyBorder="1" applyAlignment="1">
      <alignment horizontal="center"/>
    </xf>
    <xf numFmtId="0" fontId="26" fillId="16" borderId="67" xfId="0" applyFont="1" applyFill="1" applyBorder="1" applyAlignment="1">
      <alignment horizontal="center"/>
    </xf>
    <xf numFmtId="164" fontId="3" fillId="3" borderId="32" xfId="0" applyNumberFormat="1" applyFont="1" applyFill="1" applyBorder="1" applyAlignment="1">
      <alignment horizontal="center" vertical="center"/>
    </xf>
    <xf numFmtId="164" fontId="3" fillId="3" borderId="35" xfId="0" applyNumberFormat="1" applyFont="1" applyFill="1" applyBorder="1" applyAlignment="1">
      <alignment horizontal="center" vertical="center"/>
    </xf>
    <xf numFmtId="164" fontId="3" fillId="3" borderId="61" xfId="0" applyNumberFormat="1" applyFont="1" applyFill="1" applyBorder="1" applyAlignment="1">
      <alignment horizontal="center" vertical="center"/>
    </xf>
    <xf numFmtId="164" fontId="3" fillId="3" borderId="62" xfId="0" applyNumberFormat="1" applyFont="1" applyFill="1" applyBorder="1" applyAlignment="1">
      <alignment horizontal="center" vertical="center"/>
    </xf>
    <xf numFmtId="0" fontId="26" fillId="16" borderId="72" xfId="0" applyFont="1" applyFill="1" applyBorder="1" applyAlignment="1">
      <alignment horizontal="center"/>
    </xf>
    <xf numFmtId="0" fontId="26" fillId="16" borderId="77" xfId="0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64" fontId="3" fillId="3" borderId="38" xfId="0" applyNumberFormat="1" applyFont="1" applyFill="1" applyBorder="1" applyAlignment="1">
      <alignment horizontal="center" vertical="center"/>
    </xf>
    <xf numFmtId="164" fontId="3" fillId="3" borderId="57" xfId="0" applyNumberFormat="1" applyFont="1" applyFill="1" applyBorder="1" applyAlignment="1">
      <alignment horizontal="center" vertical="center"/>
    </xf>
    <xf numFmtId="164" fontId="3" fillId="3" borderId="36" xfId="0" applyNumberFormat="1" applyFont="1" applyFill="1" applyBorder="1" applyAlignment="1">
      <alignment horizontal="center" vertical="center"/>
    </xf>
    <xf numFmtId="0" fontId="11" fillId="6" borderId="26" xfId="0" applyFont="1" applyFill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0" fontId="11" fillId="6" borderId="37" xfId="0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13" borderId="121" xfId="0" applyFont="1" applyFill="1" applyBorder="1" applyAlignment="1">
      <alignment horizontal="center"/>
    </xf>
    <xf numFmtId="0" fontId="1" fillId="13" borderId="55" xfId="0" applyFont="1" applyFill="1" applyBorder="1" applyAlignment="1">
      <alignment horizontal="center"/>
    </xf>
    <xf numFmtId="0" fontId="26" fillId="16" borderId="24" xfId="0" applyFont="1" applyFill="1" applyBorder="1" applyAlignment="1">
      <alignment horizontal="center"/>
    </xf>
    <xf numFmtId="0" fontId="26" fillId="16" borderId="115" xfId="0" applyFont="1" applyFill="1" applyBorder="1" applyAlignment="1">
      <alignment horizontal="center"/>
    </xf>
    <xf numFmtId="0" fontId="26" fillId="16" borderId="25" xfId="0" applyFont="1" applyFill="1" applyBorder="1" applyAlignment="1">
      <alignment horizontal="center"/>
    </xf>
    <xf numFmtId="0" fontId="26" fillId="16" borderId="76" xfId="0" applyFont="1" applyFill="1" applyBorder="1" applyAlignment="1">
      <alignment horizontal="center"/>
    </xf>
    <xf numFmtId="0" fontId="26" fillId="16" borderId="125" xfId="0" applyFont="1" applyFill="1" applyBorder="1" applyAlignment="1">
      <alignment horizontal="center"/>
    </xf>
    <xf numFmtId="0" fontId="26" fillId="14" borderId="72" xfId="0" applyFont="1" applyFill="1" applyBorder="1" applyAlignment="1">
      <alignment horizontal="center"/>
    </xf>
    <xf numFmtId="0" fontId="26" fillId="14" borderId="77" xfId="0" applyFont="1" applyFill="1" applyBorder="1" applyAlignment="1">
      <alignment horizontal="center"/>
    </xf>
    <xf numFmtId="0" fontId="26" fillId="14" borderId="22" xfId="0" applyFont="1" applyFill="1" applyBorder="1" applyAlignment="1">
      <alignment horizontal="center"/>
    </xf>
    <xf numFmtId="0" fontId="26" fillId="14" borderId="59" xfId="0" applyFont="1" applyFill="1" applyBorder="1" applyAlignment="1">
      <alignment horizontal="center"/>
    </xf>
    <xf numFmtId="0" fontId="26" fillId="14" borderId="67" xfId="0" applyFont="1" applyFill="1" applyBorder="1" applyAlignment="1">
      <alignment horizontal="center"/>
    </xf>
    <xf numFmtId="0" fontId="26" fillId="2" borderId="69" xfId="0" applyFont="1" applyFill="1" applyBorder="1" applyAlignment="1">
      <alignment horizontal="center" vertical="center"/>
    </xf>
    <xf numFmtId="0" fontId="26" fillId="2" borderId="70" xfId="0" applyFont="1" applyFill="1" applyBorder="1" applyAlignment="1">
      <alignment horizontal="center" vertical="center"/>
    </xf>
    <xf numFmtId="0" fontId="26" fillId="2" borderId="115" xfId="0" applyFont="1" applyFill="1" applyBorder="1" applyAlignment="1">
      <alignment horizontal="center" vertical="center"/>
    </xf>
    <xf numFmtId="0" fontId="26" fillId="2" borderId="54" xfId="0" applyFont="1" applyFill="1" applyBorder="1" applyAlignment="1">
      <alignment horizontal="center" vertical="center"/>
    </xf>
    <xf numFmtId="0" fontId="35" fillId="5" borderId="35" xfId="0" applyFont="1" applyFill="1" applyBorder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0" fontId="35" fillId="5" borderId="39" xfId="0" applyFont="1" applyFill="1" applyBorder="1" applyAlignment="1">
      <alignment horizontal="center" vertical="center"/>
    </xf>
    <xf numFmtId="164" fontId="3" fillId="3" borderId="2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 vertical="center"/>
    </xf>
    <xf numFmtId="164" fontId="3" fillId="3" borderId="32" xfId="0" applyNumberFormat="1" applyFont="1" applyFill="1" applyBorder="1" applyAlignment="1" applyProtection="1">
      <alignment horizontal="center" vertical="center"/>
      <protection locked="0"/>
    </xf>
    <xf numFmtId="164" fontId="3" fillId="3" borderId="35" xfId="0" applyNumberFormat="1" applyFont="1" applyFill="1" applyBorder="1" applyAlignment="1" applyProtection="1">
      <alignment horizontal="center" vertical="center"/>
      <protection locked="0"/>
    </xf>
    <xf numFmtId="164" fontId="3" fillId="3" borderId="22" xfId="0" applyNumberFormat="1" applyFont="1" applyFill="1" applyBorder="1" applyAlignment="1" applyProtection="1">
      <alignment horizontal="center" vertical="center"/>
      <protection locked="0"/>
    </xf>
    <xf numFmtId="0" fontId="11" fillId="5" borderId="39" xfId="0" applyFont="1" applyFill="1" applyBorder="1" applyAlignment="1">
      <alignment horizontal="center" vertical="center"/>
    </xf>
    <xf numFmtId="0" fontId="11" fillId="5" borderId="110" xfId="0" applyFont="1" applyFill="1" applyBorder="1" applyAlignment="1">
      <alignment horizontal="center" vertical="center"/>
    </xf>
    <xf numFmtId="0" fontId="11" fillId="5" borderId="73" xfId="0" applyFont="1" applyFill="1" applyBorder="1" applyAlignment="1">
      <alignment horizontal="center" vertical="center"/>
    </xf>
    <xf numFmtId="0" fontId="26" fillId="14" borderId="0" xfId="0" applyFont="1" applyFill="1" applyAlignment="1">
      <alignment horizontal="center"/>
    </xf>
    <xf numFmtId="0" fontId="26" fillId="14" borderId="39" xfId="0" applyFont="1" applyFill="1" applyBorder="1" applyAlignment="1">
      <alignment horizontal="center"/>
    </xf>
    <xf numFmtId="0" fontId="26" fillId="14" borderId="100" xfId="0" applyFont="1" applyFill="1" applyBorder="1" applyAlignment="1">
      <alignment horizontal="center"/>
    </xf>
    <xf numFmtId="0" fontId="6" fillId="2" borderId="0" xfId="0" applyFont="1" applyFill="1" applyAlignment="1" applyProtection="1">
      <alignment horizontal="center" vertical="center"/>
      <protection locked="0"/>
    </xf>
    <xf numFmtId="0" fontId="6" fillId="2" borderId="39" xfId="0" applyFont="1" applyFill="1" applyBorder="1" applyAlignment="1" applyProtection="1">
      <alignment horizontal="center" vertical="center"/>
      <protection locked="0"/>
    </xf>
    <xf numFmtId="0" fontId="1" fillId="13" borderId="47" xfId="0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5" fillId="6" borderId="85" xfId="0" applyFont="1" applyFill="1" applyBorder="1" applyAlignment="1">
      <alignment horizontal="center" vertical="center"/>
    </xf>
    <xf numFmtId="0" fontId="5" fillId="6" borderId="86" xfId="0" applyFont="1" applyFill="1" applyBorder="1" applyAlignment="1">
      <alignment horizontal="center" vertical="center"/>
    </xf>
    <xf numFmtId="0" fontId="5" fillId="6" borderId="81" xfId="0" applyFont="1" applyFill="1" applyBorder="1" applyAlignment="1">
      <alignment horizontal="center" vertical="center"/>
    </xf>
    <xf numFmtId="0" fontId="5" fillId="6" borderId="82" xfId="0" applyFont="1" applyFill="1" applyBorder="1" applyAlignment="1">
      <alignment horizontal="center" vertical="center"/>
    </xf>
    <xf numFmtId="0" fontId="4" fillId="14" borderId="24" xfId="0" applyFont="1" applyFill="1" applyBorder="1" applyAlignment="1" applyProtection="1">
      <alignment horizontal="center" vertical="center"/>
      <protection locked="0"/>
    </xf>
    <xf numFmtId="0" fontId="4" fillId="14" borderId="33" xfId="0" applyFont="1" applyFill="1" applyBorder="1" applyAlignment="1" applyProtection="1">
      <alignment horizontal="center" vertical="center"/>
      <protection locked="0"/>
    </xf>
    <xf numFmtId="164" fontId="3" fillId="3" borderId="52" xfId="0" applyNumberFormat="1" applyFont="1" applyFill="1" applyBorder="1" applyAlignment="1" applyProtection="1">
      <alignment horizontal="center" vertical="center"/>
      <protection locked="0"/>
    </xf>
    <xf numFmtId="164" fontId="3" fillId="3" borderId="43" xfId="0" applyNumberFormat="1" applyFont="1" applyFill="1" applyBorder="1" applyAlignment="1" applyProtection="1">
      <alignment horizontal="center" vertical="center"/>
      <protection locked="0"/>
    </xf>
    <xf numFmtId="164" fontId="3" fillId="3" borderId="24" xfId="0" applyNumberFormat="1" applyFont="1" applyFill="1" applyBorder="1" applyAlignment="1" applyProtection="1">
      <alignment horizontal="center" vertical="center"/>
      <protection locked="0"/>
    </xf>
    <xf numFmtId="164" fontId="3" fillId="3" borderId="25" xfId="0" applyNumberFormat="1" applyFont="1" applyFill="1" applyBorder="1" applyAlignment="1" applyProtection="1">
      <alignment horizontal="center" vertical="center"/>
      <protection locked="0"/>
    </xf>
    <xf numFmtId="0" fontId="5" fillId="12" borderId="31" xfId="0" applyFont="1" applyFill="1" applyBorder="1" applyAlignment="1">
      <alignment horizontal="center" vertical="center"/>
    </xf>
    <xf numFmtId="0" fontId="5" fillId="12" borderId="34" xfId="0" applyFont="1" applyFill="1" applyBorder="1" applyAlignment="1">
      <alignment horizontal="center" vertical="center"/>
    </xf>
    <xf numFmtId="0" fontId="11" fillId="12" borderId="47" xfId="0" applyFont="1" applyFill="1" applyBorder="1" applyAlignment="1">
      <alignment horizontal="center" vertical="center"/>
    </xf>
    <xf numFmtId="0" fontId="11" fillId="12" borderId="55" xfId="0" applyFont="1" applyFill="1" applyBorder="1" applyAlignment="1">
      <alignment horizontal="center" vertical="center"/>
    </xf>
    <xf numFmtId="0" fontId="11" fillId="13" borderId="42" xfId="0" applyFont="1" applyFill="1" applyBorder="1" applyAlignment="1">
      <alignment horizontal="center" vertical="center"/>
    </xf>
    <xf numFmtId="0" fontId="11" fillId="13" borderId="114" xfId="0" applyFont="1" applyFill="1" applyBorder="1" applyAlignment="1">
      <alignment horizontal="center" vertical="center"/>
    </xf>
    <xf numFmtId="0" fontId="4" fillId="2" borderId="110" xfId="0" applyFont="1" applyFill="1" applyBorder="1" applyAlignment="1" applyProtection="1">
      <alignment horizontal="center" vertical="center"/>
      <protection locked="0"/>
    </xf>
    <xf numFmtId="0" fontId="4" fillId="2" borderId="99" xfId="0" applyFont="1" applyFill="1" applyBorder="1" applyAlignment="1" applyProtection="1">
      <alignment horizontal="center" vertical="center"/>
      <protection locked="0"/>
    </xf>
    <xf numFmtId="164" fontId="3" fillId="3" borderId="1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3" fillId="3" borderId="101" xfId="0" applyNumberFormat="1" applyFont="1" applyFill="1" applyBorder="1" applyAlignment="1">
      <alignment horizontal="center" vertical="center"/>
    </xf>
    <xf numFmtId="0" fontId="5" fillId="5" borderId="48" xfId="0" applyFont="1" applyFill="1" applyBorder="1" applyAlignment="1">
      <alignment horizontal="center" vertical="center"/>
    </xf>
    <xf numFmtId="0" fontId="5" fillId="5" borderId="49" xfId="0" applyFont="1" applyFill="1" applyBorder="1" applyAlignment="1">
      <alignment horizontal="center" vertical="center"/>
    </xf>
    <xf numFmtId="164" fontId="3" fillId="3" borderId="60" xfId="0" applyNumberFormat="1" applyFont="1" applyFill="1" applyBorder="1" applyAlignment="1">
      <alignment horizontal="center" vertical="center"/>
    </xf>
    <xf numFmtId="0" fontId="5" fillId="12" borderId="33" xfId="0" applyFont="1" applyFill="1" applyBorder="1" applyAlignment="1">
      <alignment horizontal="center" vertical="center"/>
    </xf>
    <xf numFmtId="164" fontId="3" fillId="3" borderId="103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3" fillId="3" borderId="59" xfId="0" applyNumberFormat="1" applyFont="1" applyFill="1" applyBorder="1" applyAlignment="1">
      <alignment horizontal="center" vertical="center"/>
    </xf>
    <xf numFmtId="0" fontId="4" fillId="0" borderId="110" xfId="0" applyFont="1" applyBorder="1" applyAlignment="1" applyProtection="1">
      <alignment horizontal="center" vertical="center"/>
      <protection locked="0"/>
    </xf>
    <xf numFmtId="0" fontId="4" fillId="0" borderId="73" xfId="0" applyFont="1" applyBorder="1" applyAlignment="1" applyProtection="1">
      <alignment horizontal="center" vertical="center"/>
      <protection locked="0"/>
    </xf>
    <xf numFmtId="0" fontId="11" fillId="13" borderId="99" xfId="0" applyFont="1" applyFill="1" applyBorder="1" applyAlignment="1">
      <alignment horizontal="center" vertical="center"/>
    </xf>
    <xf numFmtId="0" fontId="11" fillId="13" borderId="39" xfId="0" applyFont="1" applyFill="1" applyBorder="1" applyAlignment="1">
      <alignment horizontal="center" vertical="center"/>
    </xf>
    <xf numFmtId="0" fontId="11" fillId="13" borderId="100" xfId="0" applyFont="1" applyFill="1" applyBorder="1" applyAlignment="1">
      <alignment horizontal="center" vertical="center"/>
    </xf>
    <xf numFmtId="0" fontId="4" fillId="22" borderId="33" xfId="0" applyFont="1" applyFill="1" applyBorder="1" applyAlignment="1">
      <alignment horizontal="center"/>
    </xf>
    <xf numFmtId="0" fontId="5" fillId="0" borderId="33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21" fontId="0" fillId="0" borderId="53" xfId="0" applyNumberFormat="1" applyBorder="1" applyAlignment="1">
      <alignment horizontal="center" vertical="center" wrapText="1"/>
    </xf>
    <xf numFmtId="21" fontId="0" fillId="0" borderId="54" xfId="0" applyNumberFormat="1" applyBorder="1" applyAlignment="1">
      <alignment horizontal="center" vertical="center" wrapText="1"/>
    </xf>
    <xf numFmtId="21" fontId="15" fillId="0" borderId="53" xfId="0" applyNumberFormat="1" applyFont="1" applyBorder="1" applyAlignment="1">
      <alignment horizontal="center" vertical="center" wrapText="1"/>
    </xf>
    <xf numFmtId="21" fontId="15" fillId="0" borderId="54" xfId="0" applyNumberFormat="1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66" fontId="0" fillId="0" borderId="53" xfId="0" applyNumberFormat="1" applyBorder="1" applyAlignment="1">
      <alignment horizontal="center" vertical="center" wrapText="1"/>
    </xf>
    <xf numFmtId="166" fontId="0" fillId="0" borderId="54" xfId="0" applyNumberFormat="1" applyBorder="1" applyAlignment="1">
      <alignment horizontal="center" vertical="center" wrapText="1"/>
    </xf>
    <xf numFmtId="15" fontId="0" fillId="0" borderId="53" xfId="0" applyNumberFormat="1" applyBorder="1" applyAlignment="1">
      <alignment horizontal="center" vertical="center" wrapText="1"/>
    </xf>
    <xf numFmtId="15" fontId="0" fillId="0" borderId="54" xfId="0" applyNumberForma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21" fontId="32" fillId="0" borderId="53" xfId="0" applyNumberFormat="1" applyFont="1" applyBorder="1" applyAlignment="1">
      <alignment horizontal="center" vertical="center" wrapText="1"/>
    </xf>
    <xf numFmtId="21" fontId="32" fillId="0" borderId="54" xfId="0" applyNumberFormat="1" applyFont="1" applyBorder="1" applyAlignment="1">
      <alignment horizontal="center" vertical="center" wrapText="1"/>
    </xf>
    <xf numFmtId="15" fontId="0" fillId="0" borderId="66" xfId="0" applyNumberFormat="1" applyBorder="1" applyAlignment="1">
      <alignment horizontal="center" vertical="center" wrapText="1"/>
    </xf>
    <xf numFmtId="165" fontId="33" fillId="0" borderId="65" xfId="0" applyNumberFormat="1" applyFont="1" applyBorder="1" applyAlignment="1">
      <alignment horizontal="center" vertical="center"/>
    </xf>
    <xf numFmtId="165" fontId="2" fillId="0" borderId="58" xfId="0" applyNumberFormat="1" applyFont="1" applyBorder="1" applyAlignment="1">
      <alignment horizontal="center" vertical="center"/>
    </xf>
    <xf numFmtId="165" fontId="2" fillId="0" borderId="69" xfId="0" applyNumberFormat="1" applyFont="1" applyBorder="1" applyAlignment="1">
      <alignment horizontal="center" vertical="center"/>
    </xf>
    <xf numFmtId="165" fontId="2" fillId="0" borderId="77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71" xfId="0" applyNumberFormat="1" applyFont="1" applyBorder="1" applyAlignment="1">
      <alignment horizontal="center" vertical="center"/>
    </xf>
    <xf numFmtId="165" fontId="2" fillId="0" borderId="66" xfId="0" applyNumberFormat="1" applyFont="1" applyBorder="1" applyAlignment="1">
      <alignment horizontal="center" vertical="center"/>
    </xf>
    <xf numFmtId="165" fontId="2" fillId="0" borderId="40" xfId="0" applyNumberFormat="1" applyFont="1" applyBorder="1" applyAlignment="1">
      <alignment horizontal="center" vertical="center"/>
    </xf>
    <xf numFmtId="165" fontId="2" fillId="0" borderId="70" xfId="0" applyNumberFormat="1" applyFont="1" applyBorder="1" applyAlignment="1">
      <alignment horizontal="center" vertical="center"/>
    </xf>
    <xf numFmtId="0" fontId="27" fillId="2" borderId="0" xfId="0" applyFont="1" applyFill="1" applyAlignment="1"/>
  </cellXfs>
  <cellStyles count="3">
    <cellStyle name="Hyperlink" xfId="2" builtinId="8"/>
    <cellStyle name="Normal" xfId="0" builtinId="0"/>
    <cellStyle name="Normal 3" xfId="1" xr:uid="{00000000-0005-0000-0000-000024000000}"/>
  </cellStyles>
  <dxfs count="271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0"/>
        <name val="Times"/>
      </font>
    </dxf>
    <dxf>
      <font>
        <sz val="10"/>
        <name val="Times"/>
      </font>
    </dxf>
    <dxf>
      <font>
        <sz val="10"/>
        <name val="Times"/>
      </font>
    </dxf>
    <dxf>
      <font>
        <sz val="10"/>
        <name val="Times"/>
      </font>
    </dxf>
    <dxf>
      <font>
        <sz val="10"/>
        <name val="Times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"/>
        <scheme val="none"/>
      </font>
      <fill>
        <patternFill patternType="solid">
          <fgColor rgb="FFD9D9D9"/>
          <bgColor rgb="FFD9D9D9"/>
        </patternFill>
      </fill>
      <alignment horizontal="general" vertical="bottom" textRotation="0" wrapText="0" indent="0" justifyLastLine="0" shrinkToFit="0" readingOrder="0"/>
    </dxf>
    <dxf>
      <font>
        <sz val="10"/>
        <name val="Times"/>
      </font>
      <alignment horizontal="center" vertical="center" wrapText="1"/>
    </dxf>
    <dxf>
      <font>
        <sz val="10"/>
        <name val="Times"/>
      </font>
    </dxf>
    <dxf>
      <font>
        <sz val="10"/>
        <name val="Times"/>
      </font>
    </dxf>
    <dxf>
      <font>
        <sz val="10"/>
        <name val="Times"/>
      </font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0" tint="-4.9989318521683403E-2"/>
      </font>
      <fill>
        <patternFill patternType="solid">
          <bgColor theme="1" tint="4.9989318521683403E-2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0" tint="-4.9989318521683403E-2"/>
      </font>
      <fill>
        <patternFill patternType="solid"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 tint="4.9989318521683403E-2"/>
      </font>
      <fill>
        <patternFill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0" tint="-4.9989318521683403E-2"/>
      </font>
      <fill>
        <patternFill patternType="solid">
          <bgColor theme="1" tint="4.9989318521683403E-2"/>
        </patternFill>
      </fill>
    </dxf>
    <dxf>
      <font>
        <color theme="1"/>
      </font>
      <fill>
        <patternFill>
          <bgColor theme="1" tint="0.34998626667073579"/>
        </patternFill>
      </fill>
    </dxf>
    <dxf>
      <font>
        <color theme="0" tint="-4.9989318521683403E-2"/>
      </font>
      <fill>
        <patternFill patternType="solid">
          <bgColor theme="1" tint="4.9989318521683403E-2"/>
        </patternFill>
      </fill>
    </dxf>
  </dxfs>
  <tableStyles count="0" defaultTableStyle="TableStyleMedium2" defaultPivotStyle="PivotStyleLight16"/>
  <colors>
    <mruColors>
      <color rgb="FF94DCF8"/>
      <color rgb="FF4EA72E"/>
      <color rgb="FFF5D427"/>
      <color rgb="FF595959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9077B-912F-4D49-838A-5CBCC0AC5FF7}" name="Table1" displayName="Table1" ref="B1:F71" totalsRowShown="0" headerRowDxfId="13" dataDxfId="12">
  <autoFilter ref="B1:F71" xr:uid="{7019077B-912F-4D49-838A-5CBCC0AC5FF7}"/>
  <tableColumns count="5">
    <tableColumn id="1" xr3:uid="{2EB9AFE1-27EA-4C69-9D2C-3B8768E85F7D}" name="TA name " dataDxfId="11"/>
    <tableColumn id="2" xr3:uid="{1807F173-1614-44A7-B7F0-C888AAF6F386}" name="Preferred name" dataDxfId="10"/>
    <tableColumn id="3" xr3:uid="{FF481666-75F0-4668-8601-64B9C858E36F}" name="Email" dataDxfId="9"/>
    <tableColumn id="4" xr3:uid="{7BF0B1EC-BDCB-44C5-82BD-D60E6877CB10}" name="Column1" dataDxfId="8"/>
    <tableColumn id="5" xr3:uid="{E6473D59-F198-4A5C-A50B-E0BB4279A97C}" name="Column2" dataDxfId="7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D6DDD4-1BF2-4B6C-AB3D-8E7CD159B80E}" name="Table2" displayName="Table2" ref="B132:B136" totalsRowShown="0" headerRowDxfId="6" dataDxfId="5">
  <autoFilter ref="B132:B136" xr:uid="{7AD6DDD4-1BF2-4B6C-AB3D-8E7CD159B80E}"/>
  <tableColumns count="1">
    <tableColumn id="1" xr3:uid="{1DE76C4C-B592-4E6C-87AA-8158D4438945}" name="LEGEND: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hamdan.afross.ta@mail.apu.edu.my" TargetMode="External"/><Relationship Id="rId18" Type="http://schemas.openxmlformats.org/officeDocument/2006/relationships/hyperlink" Target="mailto:amr.khaled.ta@mail.apu.edu.my" TargetMode="External"/><Relationship Id="rId26" Type="http://schemas.openxmlformats.org/officeDocument/2006/relationships/hyperlink" Target="mailto:jannatul.ferdous.ta@mail.apu.edu.my" TargetMode="External"/><Relationship Id="rId39" Type="http://schemas.openxmlformats.org/officeDocument/2006/relationships/hyperlink" Target="mailto:valencia.agneta.ta@mail.apu.edu.my" TargetMode="External"/><Relationship Id="rId21" Type="http://schemas.openxmlformats.org/officeDocument/2006/relationships/hyperlink" Target="mailto:chong.jia.ta@mail.apu.edu.my" TargetMode="External"/><Relationship Id="rId34" Type="http://schemas.openxmlformats.org/officeDocument/2006/relationships/hyperlink" Target="mailto:omar.saeed.ta@mail.apu.edu.my" TargetMode="External"/><Relationship Id="rId42" Type="http://schemas.openxmlformats.org/officeDocument/2006/relationships/table" Target="../tables/table2.xml"/><Relationship Id="rId7" Type="http://schemas.openxmlformats.org/officeDocument/2006/relationships/hyperlink" Target="mailto:sazid.rahman.ta@mail.apu.edu.my" TargetMode="External"/><Relationship Id="rId2" Type="http://schemas.openxmlformats.org/officeDocument/2006/relationships/hyperlink" Target="mailto:zamir.artan.ta@mail.apu.edu.my" TargetMode="External"/><Relationship Id="rId16" Type="http://schemas.openxmlformats.org/officeDocument/2006/relationships/hyperlink" Target="mailto:eanan.anjum.ta@mail.apu.edu.my" TargetMode="External"/><Relationship Id="rId20" Type="http://schemas.openxmlformats.org/officeDocument/2006/relationships/hyperlink" Target="mailto:brandon.go.ta@mail.apu.edu.my" TargetMode="External"/><Relationship Id="rId29" Type="http://schemas.openxmlformats.org/officeDocument/2006/relationships/hyperlink" Target="mailto:mohamed.awad.ta@mail.apu.edu.my" TargetMode="External"/><Relationship Id="rId41" Type="http://schemas.openxmlformats.org/officeDocument/2006/relationships/table" Target="../tables/table1.xml"/><Relationship Id="rId1" Type="http://schemas.openxmlformats.org/officeDocument/2006/relationships/hyperlink" Target="mailto:aseel.sanad.ta@mail.apu.edu.my" TargetMode="External"/><Relationship Id="rId6" Type="http://schemas.openxmlformats.org/officeDocument/2006/relationships/hyperlink" Target="mailto:shamiur.rahman.ta@mail.apu.edu.my" TargetMode="External"/><Relationship Id="rId11" Type="http://schemas.openxmlformats.org/officeDocument/2006/relationships/hyperlink" Target="mailto:mohammad.abrarul.ta@mail.apu.edu.my" TargetMode="External"/><Relationship Id="rId24" Type="http://schemas.openxmlformats.org/officeDocument/2006/relationships/hyperlink" Target="mailto:esha.tariq.ta@mail.apu.edu.my" TargetMode="External"/><Relationship Id="rId32" Type="http://schemas.openxmlformats.org/officeDocument/2006/relationships/hyperlink" Target="mailto:fathima.akla.ta@mail.apu.edu.my" TargetMode="External"/><Relationship Id="rId37" Type="http://schemas.openxmlformats.org/officeDocument/2006/relationships/hyperlink" Target="mailto:sriniketan.parthasarathi.ta@mail.apu.edu.my" TargetMode="External"/><Relationship Id="rId40" Type="http://schemas.openxmlformats.org/officeDocument/2006/relationships/hyperlink" Target="mailto:zakarya.hussein.ta@mail.apu.edu.my" TargetMode="External"/><Relationship Id="rId5" Type="http://schemas.openxmlformats.org/officeDocument/2006/relationships/hyperlink" Target="mailto:shukri.dahir.ta@mail.apu.edu.my" TargetMode="External"/><Relationship Id="rId15" Type="http://schemas.openxmlformats.org/officeDocument/2006/relationships/hyperlink" Target="mailto:ebad.ejaz.ta@mail.apu.edu.my" TargetMode="External"/><Relationship Id="rId23" Type="http://schemas.openxmlformats.org/officeDocument/2006/relationships/hyperlink" Target="mailto:douaa.maguini.ta@mail.apu.edu.my" TargetMode="External"/><Relationship Id="rId28" Type="http://schemas.openxmlformats.org/officeDocument/2006/relationships/hyperlink" Target="mailto:al.nahyan.ta@mail.apu.edu.my" TargetMode="External"/><Relationship Id="rId36" Type="http://schemas.openxmlformats.org/officeDocument/2006/relationships/hyperlink" Target="mailto:phone.myat.ta@mail.apu.edu.my" TargetMode="External"/><Relationship Id="rId10" Type="http://schemas.openxmlformats.org/officeDocument/2006/relationships/hyperlink" Target="mailto:omar.mohamed.ta@mail.apu.edu.my" TargetMode="External"/><Relationship Id="rId19" Type="http://schemas.openxmlformats.org/officeDocument/2006/relationships/hyperlink" Target="mailto:arshia.bari.ta@mail.apu.edu.my" TargetMode="External"/><Relationship Id="rId31" Type="http://schemas.openxmlformats.org/officeDocument/2006/relationships/hyperlink" Target="mailto:muhammad.nazmir.ta@mail.apu.edu.my" TargetMode="External"/><Relationship Id="rId4" Type="http://schemas.openxmlformats.org/officeDocument/2006/relationships/hyperlink" Target="mailto:tanvir.ahmed.ta@mail.apu.edu.my" TargetMode="External"/><Relationship Id="rId9" Type="http://schemas.openxmlformats.org/officeDocument/2006/relationships/hyperlink" Target="mailto:raghad.abdelmoneim.ta@mail.apu.edu.my" TargetMode="External"/><Relationship Id="rId14" Type="http://schemas.openxmlformats.org/officeDocument/2006/relationships/hyperlink" Target="mailto:evelyn.angelica.ta@mail.apu.edu.my" TargetMode="External"/><Relationship Id="rId22" Type="http://schemas.openxmlformats.org/officeDocument/2006/relationships/hyperlink" Target="mailto:donaley.kururama.ta@mail.apu.edu.my" TargetMode="External"/><Relationship Id="rId27" Type="http://schemas.openxmlformats.org/officeDocument/2006/relationships/hyperlink" Target="mailto:lin.htin.ta@mail.apu.edu.my" TargetMode="External"/><Relationship Id="rId30" Type="http://schemas.openxmlformats.org/officeDocument/2006/relationships/hyperlink" Target="mailto:mohamed.irneen.ta@mail.apu.edu.my" TargetMode="External"/><Relationship Id="rId35" Type="http://schemas.openxmlformats.org/officeDocument/2006/relationships/hyperlink" Target="mailto:ong.yuen.ta@mail.apu.edu.my" TargetMode="External"/><Relationship Id="rId8" Type="http://schemas.openxmlformats.org/officeDocument/2006/relationships/hyperlink" Target="mailto:ramiz.abdelrahman.ta@mail.apu.edu.my" TargetMode="External"/><Relationship Id="rId3" Type="http://schemas.openxmlformats.org/officeDocument/2006/relationships/hyperlink" Target="mailto:li.xing.ta@mail.apu.edu.my" TargetMode="External"/><Relationship Id="rId12" Type="http://schemas.openxmlformats.org/officeDocument/2006/relationships/hyperlink" Target="mailto:michael.dave.ta@mail.apu.edu.my" TargetMode="External"/><Relationship Id="rId17" Type="http://schemas.openxmlformats.org/officeDocument/2006/relationships/hyperlink" Target="mailto:clairine.allegra.ta@mail.apu.edu.my" TargetMode="External"/><Relationship Id="rId25" Type="http://schemas.openxmlformats.org/officeDocument/2006/relationships/hyperlink" Target="mailto:haifa.mohamed.ta@mail.apu.edu.my" TargetMode="External"/><Relationship Id="rId33" Type="http://schemas.openxmlformats.org/officeDocument/2006/relationships/hyperlink" Target="mailto:nyan.lin.ta@mail.apu.edu.my" TargetMode="External"/><Relationship Id="rId38" Type="http://schemas.openxmlformats.org/officeDocument/2006/relationships/hyperlink" Target="mailto:umme.ashfakum.ta@mail.apu.edu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412E-CE81-47A9-B3DB-C209E9EFCF54}">
  <sheetPr>
    <pageSetUpPr fitToPage="1"/>
  </sheetPr>
  <dimension ref="A1:AD650"/>
  <sheetViews>
    <sheetView tabSelected="1" zoomScaleNormal="100" workbookViewId="0">
      <pane xSplit="1" topLeftCell="B1" activePane="topRight" state="frozen"/>
      <selection pane="topRight" activeCell="L18" sqref="L18"/>
    </sheetView>
  </sheetViews>
  <sheetFormatPr defaultColWidth="9.625" defaultRowHeight="14.25"/>
  <cols>
    <col min="1" max="1" width="9.375" style="9" customWidth="1"/>
    <col min="2" max="2" width="14.125" style="9" customWidth="1"/>
    <col min="3" max="3" width="16.5" style="9" customWidth="1"/>
    <col min="4" max="4" width="16.25" style="9" customWidth="1"/>
    <col min="5" max="5" width="16.125" style="9" bestFit="1" customWidth="1"/>
    <col min="6" max="6" width="18.625" style="9" bestFit="1" customWidth="1"/>
    <col min="7" max="7" width="18.625" style="62" customWidth="1"/>
    <col min="8" max="8" width="18.375" style="9" customWidth="1"/>
    <col min="9" max="9" width="19.625" style="9" bestFit="1" customWidth="1"/>
    <col min="10" max="10" width="9.25" style="9" customWidth="1"/>
    <col min="11" max="11" width="9.5" style="9" customWidth="1"/>
    <col min="12" max="13" width="11" style="11" customWidth="1"/>
    <col min="14" max="14" width="10.25" style="11" customWidth="1"/>
    <col min="15" max="15" width="7.75" style="11" customWidth="1"/>
    <col min="16" max="16" width="5.5" style="11" customWidth="1"/>
    <col min="17" max="16384" width="9.625" style="9"/>
  </cols>
  <sheetData>
    <row r="1" spans="1:30" ht="21" customHeight="1">
      <c r="A1" s="294" t="s">
        <v>0</v>
      </c>
      <c r="B1" s="294"/>
      <c r="C1" s="294"/>
      <c r="D1" s="294"/>
      <c r="E1" s="294"/>
      <c r="F1" s="294"/>
      <c r="G1" s="294"/>
      <c r="H1" s="294"/>
      <c r="I1" s="294"/>
      <c r="J1" s="3"/>
      <c r="K1" s="8"/>
      <c r="L1" s="8"/>
      <c r="M1" s="8"/>
      <c r="N1" s="8"/>
      <c r="O1" s="8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spans="1:30" ht="19.5" customHeight="1">
      <c r="A2" s="295" t="str">
        <f>CONCATENATE("Effective from ",TEXT(A3,"d mmmm yyyy")," to ",TEXT(A54,"d mmmm yyyy"))</f>
        <v>Effective from 24 November 2025 to 29 November 2025</v>
      </c>
      <c r="B2" s="295"/>
      <c r="C2" s="295"/>
      <c r="D2" s="295"/>
      <c r="E2" s="295"/>
      <c r="F2" s="295"/>
      <c r="G2" s="295"/>
      <c r="H2" s="295"/>
      <c r="I2" s="295"/>
      <c r="J2" s="1"/>
      <c r="K2" s="318"/>
      <c r="L2" s="318"/>
      <c r="M2" s="318"/>
      <c r="N2" s="92"/>
      <c r="O2" s="8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</row>
    <row r="3" spans="1:30" ht="14.1" customHeight="1">
      <c r="A3" s="319">
        <v>45985</v>
      </c>
      <c r="B3" s="320"/>
      <c r="C3" s="320"/>
      <c r="D3" s="320"/>
      <c r="E3" s="320"/>
      <c r="F3" s="320"/>
      <c r="G3" s="320"/>
      <c r="H3" s="320"/>
      <c r="I3" s="321"/>
      <c r="J3" s="11"/>
      <c r="K3" s="393"/>
      <c r="L3" s="393"/>
      <c r="M3" s="393"/>
      <c r="N3" s="91"/>
      <c r="O3" s="8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</row>
    <row r="4" spans="1:30" ht="15">
      <c r="A4" s="106" t="s">
        <v>1</v>
      </c>
      <c r="B4" s="240" t="s">
        <v>2</v>
      </c>
      <c r="C4" s="50" t="s">
        <v>3</v>
      </c>
      <c r="D4" s="231" t="s">
        <v>4</v>
      </c>
      <c r="E4" s="231" t="s">
        <v>5</v>
      </c>
      <c r="F4" s="231" t="s">
        <v>6</v>
      </c>
      <c r="G4" s="231" t="s">
        <v>7</v>
      </c>
      <c r="H4" s="231" t="s">
        <v>8</v>
      </c>
      <c r="I4" s="234" t="s">
        <v>9</v>
      </c>
      <c r="J4" s="11"/>
      <c r="K4" s="93"/>
      <c r="O4" s="8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</row>
    <row r="5" spans="1:30" ht="14.1" customHeight="1">
      <c r="A5" s="235" t="s">
        <v>10</v>
      </c>
      <c r="B5" s="241" t="s">
        <v>11</v>
      </c>
      <c r="C5" s="229" t="s">
        <v>12</v>
      </c>
      <c r="D5" s="229" t="s">
        <v>13</v>
      </c>
      <c r="E5" s="230" t="s">
        <v>14</v>
      </c>
      <c r="F5" s="233" t="s">
        <v>15</v>
      </c>
      <c r="G5" s="299"/>
      <c r="H5" s="230" t="s">
        <v>16</v>
      </c>
      <c r="I5" s="301"/>
      <c r="J5" s="8"/>
      <c r="K5" s="93"/>
      <c r="O5" s="8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spans="1:30" ht="14.1" customHeight="1">
      <c r="A6" s="236" t="s">
        <v>17</v>
      </c>
      <c r="B6" s="120" t="s">
        <v>18</v>
      </c>
      <c r="C6" s="238" t="s">
        <v>14</v>
      </c>
      <c r="D6" s="101" t="s">
        <v>19</v>
      </c>
      <c r="E6" s="101" t="s">
        <v>20</v>
      </c>
      <c r="F6" s="101" t="s">
        <v>21</v>
      </c>
      <c r="G6" s="300"/>
      <c r="H6" s="101" t="s">
        <v>15</v>
      </c>
      <c r="I6" s="302"/>
      <c r="J6" s="8"/>
      <c r="K6" s="90"/>
      <c r="O6" s="8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spans="1:30" ht="15" customHeight="1">
      <c r="A7" s="236" t="s">
        <v>22</v>
      </c>
      <c r="B7" s="120" t="s">
        <v>23</v>
      </c>
      <c r="C7" s="238" t="s">
        <v>24</v>
      </c>
      <c r="D7" s="101" t="s">
        <v>25</v>
      </c>
      <c r="E7" s="101" t="s">
        <v>26</v>
      </c>
      <c r="F7" s="101" t="s">
        <v>21</v>
      </c>
      <c r="G7" s="300"/>
      <c r="H7" s="101" t="s">
        <v>27</v>
      </c>
      <c r="I7" s="302"/>
      <c r="J7" s="8"/>
      <c r="K7" s="90"/>
      <c r="O7" s="8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spans="1:30" ht="14.1" customHeight="1">
      <c r="A8" s="248" t="s">
        <v>28</v>
      </c>
      <c r="B8" s="120" t="s">
        <v>29</v>
      </c>
      <c r="C8" s="239" t="s">
        <v>30</v>
      </c>
      <c r="D8" s="101" t="s">
        <v>31</v>
      </c>
      <c r="E8" s="101" t="s">
        <v>24</v>
      </c>
      <c r="F8" s="101" t="s">
        <v>25</v>
      </c>
      <c r="G8" s="300"/>
      <c r="H8" s="101" t="s">
        <v>32</v>
      </c>
      <c r="I8" s="302"/>
      <c r="J8" s="8"/>
      <c r="K8" s="90"/>
      <c r="O8" s="8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spans="1:30" ht="14.1" customHeight="1">
      <c r="A9" s="76" t="s">
        <v>33</v>
      </c>
      <c r="B9" s="120" t="s">
        <v>34</v>
      </c>
      <c r="C9" s="239" t="s">
        <v>15</v>
      </c>
      <c r="D9" s="225" t="s">
        <v>19</v>
      </c>
      <c r="E9" s="204" t="s">
        <v>30</v>
      </c>
      <c r="F9" s="101" t="s">
        <v>31</v>
      </c>
      <c r="G9" s="300"/>
      <c r="H9" s="101" t="s">
        <v>25</v>
      </c>
      <c r="I9" s="303"/>
      <c r="J9" s="8"/>
      <c r="K9" s="90"/>
      <c r="O9" s="8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spans="1:30" ht="14.1" customHeight="1">
      <c r="A10" s="249" t="s">
        <v>35</v>
      </c>
      <c r="B10" s="242" t="s">
        <v>36</v>
      </c>
      <c r="C10" s="297"/>
      <c r="D10" s="298"/>
      <c r="E10" s="146" t="s">
        <v>26</v>
      </c>
      <c r="F10" s="142" t="s">
        <v>37</v>
      </c>
      <c r="G10" s="145" t="s">
        <v>38</v>
      </c>
      <c r="H10" s="147" t="s">
        <v>39</v>
      </c>
      <c r="I10" s="144" t="s">
        <v>40</v>
      </c>
      <c r="J10" s="8"/>
      <c r="K10" s="90"/>
      <c r="O10" s="8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spans="1:30" ht="14.25" customHeight="1">
      <c r="A11" s="296"/>
      <c r="B11" s="296"/>
      <c r="C11" s="296"/>
      <c r="D11" s="296"/>
      <c r="E11" s="296"/>
      <c r="F11" s="296"/>
      <c r="G11" s="296"/>
      <c r="H11" s="296"/>
      <c r="I11" s="296"/>
      <c r="J11" s="8"/>
      <c r="K11" s="8"/>
      <c r="O11" s="8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spans="1:30" ht="15">
      <c r="A12" s="296"/>
      <c r="B12" s="296"/>
      <c r="C12" s="296"/>
      <c r="D12" s="296"/>
      <c r="E12" s="296"/>
      <c r="F12" s="296"/>
      <c r="G12" s="296"/>
      <c r="H12" s="296"/>
      <c r="I12" s="296"/>
      <c r="J12" s="8"/>
      <c r="K12" s="8"/>
      <c r="O12" s="8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spans="1:30" ht="14.1" customHeight="1">
      <c r="A13" s="279">
        <f>A3+1</f>
        <v>45986</v>
      </c>
      <c r="B13" s="280"/>
      <c r="C13" s="280"/>
      <c r="D13" s="280"/>
      <c r="E13" s="280"/>
      <c r="F13" s="280"/>
      <c r="G13" s="280"/>
      <c r="H13" s="280"/>
      <c r="I13" s="316"/>
      <c r="J13" s="8"/>
      <c r="K13" s="91"/>
      <c r="L13" s="91"/>
      <c r="N13" s="8"/>
      <c r="O13" s="8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spans="1:30" ht="15">
      <c r="A14" s="73" t="s">
        <v>1</v>
      </c>
      <c r="B14" s="247" t="s">
        <v>2</v>
      </c>
      <c r="C14" s="50" t="s">
        <v>3</v>
      </c>
      <c r="D14" s="231" t="s">
        <v>4</v>
      </c>
      <c r="E14" s="231" t="s">
        <v>5</v>
      </c>
      <c r="F14" s="231" t="s">
        <v>6</v>
      </c>
      <c r="G14" s="231" t="s">
        <v>7</v>
      </c>
      <c r="H14" s="231" t="s">
        <v>8</v>
      </c>
      <c r="I14" s="234" t="s">
        <v>9</v>
      </c>
      <c r="J14" s="8"/>
      <c r="K14" s="93"/>
      <c r="L14" s="90"/>
      <c r="N14" s="94"/>
      <c r="O14" s="90"/>
      <c r="P14" s="90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spans="1:30" ht="13.5" customHeight="1">
      <c r="A15" s="96" t="s">
        <v>10</v>
      </c>
      <c r="B15" s="241" t="s">
        <v>11</v>
      </c>
      <c r="C15" s="229" t="s">
        <v>16</v>
      </c>
      <c r="D15" s="228" t="s">
        <v>15</v>
      </c>
      <c r="E15" s="229" t="s">
        <v>27</v>
      </c>
      <c r="F15" s="143" t="s">
        <v>37</v>
      </c>
      <c r="G15" s="304"/>
      <c r="H15" s="230" t="s">
        <v>32</v>
      </c>
      <c r="I15" s="306"/>
      <c r="J15" s="75"/>
      <c r="K15" s="93"/>
      <c r="L15" s="90"/>
      <c r="N15" s="94"/>
      <c r="O15" s="90"/>
      <c r="P15" s="90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spans="1:30" ht="13.5" customHeight="1">
      <c r="A16" s="76" t="s">
        <v>17</v>
      </c>
      <c r="B16" s="120" t="s">
        <v>41</v>
      </c>
      <c r="C16" s="245" t="s">
        <v>42</v>
      </c>
      <c r="D16" s="101" t="s">
        <v>43</v>
      </c>
      <c r="E16" s="101" t="s">
        <v>44</v>
      </c>
      <c r="F16" s="101" t="s">
        <v>31</v>
      </c>
      <c r="G16" s="305"/>
      <c r="H16" s="101" t="s">
        <v>15</v>
      </c>
      <c r="I16" s="307"/>
      <c r="J16" s="75"/>
      <c r="K16" s="8"/>
      <c r="L16" s="8"/>
      <c r="N16" s="90"/>
      <c r="O16" s="90"/>
      <c r="P16" s="90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spans="1:30" ht="13.5" customHeight="1">
      <c r="A17" s="76" t="s">
        <v>22</v>
      </c>
      <c r="B17" s="120" t="s">
        <v>23</v>
      </c>
      <c r="C17" s="245" t="s">
        <v>45</v>
      </c>
      <c r="D17" s="225" t="s">
        <v>13</v>
      </c>
      <c r="E17" s="101" t="s">
        <v>43</v>
      </c>
      <c r="F17" s="101" t="s">
        <v>19</v>
      </c>
      <c r="G17" s="305"/>
      <c r="H17" s="101" t="s">
        <v>46</v>
      </c>
      <c r="I17" s="307"/>
      <c r="J17" s="8"/>
      <c r="K17" s="8"/>
      <c r="L17" s="8"/>
      <c r="N17" s="90"/>
      <c r="O17" s="90"/>
      <c r="P17" s="90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spans="1:30" ht="12.95" customHeight="1">
      <c r="A18" s="76" t="s">
        <v>28</v>
      </c>
      <c r="B18" s="120" t="s">
        <v>29</v>
      </c>
      <c r="C18" s="232" t="s">
        <v>46</v>
      </c>
      <c r="D18" s="101" t="s">
        <v>19</v>
      </c>
      <c r="E18" s="227" t="s">
        <v>24</v>
      </c>
      <c r="F18" s="101" t="s">
        <v>21</v>
      </c>
      <c r="G18" s="305"/>
      <c r="H18" s="101" t="s">
        <v>25</v>
      </c>
      <c r="I18" s="307"/>
      <c r="J18" s="8"/>
      <c r="K18" s="8"/>
      <c r="L18" s="8"/>
      <c r="N18" s="90"/>
      <c r="O18" s="90"/>
      <c r="P18" s="90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spans="1:30" ht="13.5" customHeight="1">
      <c r="A19" s="323" t="s">
        <v>33</v>
      </c>
      <c r="B19" s="120" t="s">
        <v>47</v>
      </c>
      <c r="C19" s="309" t="s">
        <v>15</v>
      </c>
      <c r="D19" s="311" t="s">
        <v>24</v>
      </c>
      <c r="E19" s="101" t="s">
        <v>46</v>
      </c>
      <c r="F19" s="101" t="s">
        <v>25</v>
      </c>
      <c r="G19" s="305"/>
      <c r="H19" s="101" t="s">
        <v>19</v>
      </c>
      <c r="I19" s="308"/>
      <c r="J19" s="8"/>
      <c r="K19" s="8"/>
      <c r="L19" s="8"/>
      <c r="N19" s="90"/>
      <c r="O19" s="90"/>
      <c r="P19" s="90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spans="1:30" ht="14.25" customHeight="1">
      <c r="A20" s="324"/>
      <c r="B20" s="120" t="s">
        <v>48</v>
      </c>
      <c r="C20" s="310"/>
      <c r="D20" s="312"/>
      <c r="E20" s="325"/>
      <c r="F20" s="325"/>
      <c r="G20" s="325"/>
      <c r="H20" s="325"/>
      <c r="I20" s="307"/>
      <c r="J20" s="8"/>
      <c r="K20" s="8"/>
      <c r="L20" s="8"/>
      <c r="N20" s="90"/>
      <c r="O20" s="90"/>
      <c r="P20" s="90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spans="1:30" ht="14.1" customHeight="1">
      <c r="A21" s="77" t="s">
        <v>35</v>
      </c>
      <c r="B21" s="246" t="s">
        <v>36</v>
      </c>
      <c r="C21" s="195"/>
      <c r="D21" s="195"/>
      <c r="E21" s="326"/>
      <c r="F21" s="326"/>
      <c r="G21" s="326"/>
      <c r="H21" s="326"/>
      <c r="I21" s="327"/>
      <c r="J21" s="75"/>
      <c r="K21" s="8"/>
      <c r="L21" s="8"/>
      <c r="N21" s="8"/>
      <c r="O21" s="8"/>
      <c r="P21" s="8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spans="1:30" ht="15">
      <c r="A22" s="286"/>
      <c r="B22" s="286"/>
      <c r="C22" s="286"/>
      <c r="D22" s="286"/>
      <c r="E22" s="286"/>
      <c r="F22" s="286"/>
      <c r="G22" s="286"/>
      <c r="H22" s="286"/>
      <c r="I22" s="286"/>
      <c r="J22" s="75"/>
      <c r="K22" s="8"/>
      <c r="M22" s="8"/>
      <c r="N22" s="8"/>
      <c r="O22" s="8"/>
      <c r="P22" s="8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spans="1:30" ht="17.25" customHeight="1">
      <c r="A23" s="322"/>
      <c r="B23" s="322"/>
      <c r="C23" s="322"/>
      <c r="D23" s="322"/>
      <c r="E23" s="322"/>
      <c r="F23" s="322"/>
      <c r="G23" s="322"/>
      <c r="H23" s="322"/>
      <c r="I23" s="322"/>
      <c r="J23" s="75"/>
      <c r="K23" s="8"/>
      <c r="L23" s="8"/>
      <c r="M23" s="8"/>
      <c r="N23" s="8"/>
      <c r="O23" s="8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spans="1:30" ht="14.1" customHeight="1">
      <c r="A24" s="279">
        <f>A13+1</f>
        <v>45987</v>
      </c>
      <c r="B24" s="280"/>
      <c r="C24" s="281"/>
      <c r="D24" s="281"/>
      <c r="E24" s="281"/>
      <c r="F24" s="281"/>
      <c r="G24" s="281"/>
      <c r="H24" s="281"/>
      <c r="I24" s="282"/>
      <c r="J24" s="8"/>
      <c r="K24" s="393"/>
      <c r="L24" s="393"/>
      <c r="M24" s="393"/>
      <c r="N24" s="8"/>
      <c r="O24" s="8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spans="1:30" ht="15">
      <c r="A25" s="106" t="s">
        <v>1</v>
      </c>
      <c r="B25" s="244" t="s">
        <v>2</v>
      </c>
      <c r="C25" s="50" t="s">
        <v>3</v>
      </c>
      <c r="D25" s="231" t="s">
        <v>4</v>
      </c>
      <c r="E25" s="231" t="s">
        <v>5</v>
      </c>
      <c r="F25" s="231" t="s">
        <v>6</v>
      </c>
      <c r="G25" s="231" t="s">
        <v>7</v>
      </c>
      <c r="H25" s="231" t="s">
        <v>8</v>
      </c>
      <c r="I25" s="234" t="s">
        <v>9</v>
      </c>
      <c r="J25" s="8"/>
      <c r="K25" s="93"/>
      <c r="L25" s="94"/>
      <c r="M25" s="90"/>
      <c r="N25" s="8"/>
      <c r="O25" s="8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spans="1:30" ht="13.5" customHeight="1">
      <c r="A26" s="235" t="s">
        <v>10</v>
      </c>
      <c r="B26" s="241" t="s">
        <v>11</v>
      </c>
      <c r="C26" s="229" t="s">
        <v>13</v>
      </c>
      <c r="D26" s="143" t="s">
        <v>14</v>
      </c>
      <c r="E26" s="143" t="s">
        <v>16</v>
      </c>
      <c r="F26" s="230" t="s">
        <v>49</v>
      </c>
      <c r="G26" s="283"/>
      <c r="H26" s="101" t="s">
        <v>40</v>
      </c>
      <c r="I26" s="276"/>
      <c r="J26" s="8"/>
      <c r="K26" s="93"/>
      <c r="L26" s="94"/>
      <c r="M26" s="90"/>
      <c r="N26" s="8"/>
      <c r="O26" s="8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spans="1:30" ht="13.5" customHeight="1">
      <c r="A27" s="236" t="s">
        <v>17</v>
      </c>
      <c r="B27" s="120" t="s">
        <v>18</v>
      </c>
      <c r="C27" s="238" t="s">
        <v>43</v>
      </c>
      <c r="D27" s="101" t="s">
        <v>44</v>
      </c>
      <c r="E27" s="101" t="s">
        <v>24</v>
      </c>
      <c r="F27" s="101" t="s">
        <v>25</v>
      </c>
      <c r="G27" s="284"/>
      <c r="H27" s="204" t="s">
        <v>49</v>
      </c>
      <c r="I27" s="277"/>
      <c r="J27" s="8"/>
      <c r="K27" s="8"/>
      <c r="L27" s="8"/>
      <c r="M27" s="8"/>
      <c r="N27" s="8"/>
      <c r="O27" s="8"/>
      <c r="P27" s="8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ht="13.5" customHeight="1">
      <c r="A28" s="236" t="s">
        <v>22</v>
      </c>
      <c r="B28" s="120" t="s">
        <v>23</v>
      </c>
      <c r="C28" s="238" t="s">
        <v>46</v>
      </c>
      <c r="D28" s="101" t="s">
        <v>24</v>
      </c>
      <c r="E28" s="204" t="s">
        <v>49</v>
      </c>
      <c r="F28" s="204" t="s">
        <v>21</v>
      </c>
      <c r="G28" s="284"/>
      <c r="H28" s="101" t="s">
        <v>44</v>
      </c>
      <c r="I28" s="277"/>
      <c r="J28" s="8"/>
      <c r="K28" s="8"/>
      <c r="L28" s="8"/>
      <c r="M28" s="8"/>
      <c r="N28" s="8"/>
      <c r="O28" s="8"/>
      <c r="P28" s="8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ht="13.5" customHeight="1">
      <c r="A29" s="236" t="s">
        <v>28</v>
      </c>
      <c r="B29" s="120" t="s">
        <v>29</v>
      </c>
      <c r="C29" s="239" t="s">
        <v>19</v>
      </c>
      <c r="D29" s="101" t="s">
        <v>49</v>
      </c>
      <c r="E29" s="101" t="s">
        <v>37</v>
      </c>
      <c r="F29" s="101" t="s">
        <v>50</v>
      </c>
      <c r="G29" s="284"/>
      <c r="H29" s="101" t="s">
        <v>24</v>
      </c>
      <c r="I29" s="277"/>
      <c r="J29" s="75"/>
      <c r="K29" s="8"/>
      <c r="L29" s="8"/>
      <c r="M29" s="8"/>
      <c r="N29" s="8"/>
      <c r="O29" s="8"/>
      <c r="P29" s="8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 ht="13.5" customHeight="1">
      <c r="A30" s="236" t="s">
        <v>33</v>
      </c>
      <c r="B30" s="120" t="s">
        <v>34</v>
      </c>
      <c r="C30" s="239" t="s">
        <v>51</v>
      </c>
      <c r="D30" s="101" t="s">
        <v>31</v>
      </c>
      <c r="E30" s="204" t="s">
        <v>19</v>
      </c>
      <c r="F30" s="228" t="s">
        <v>52</v>
      </c>
      <c r="G30" s="284"/>
      <c r="H30" s="101" t="s">
        <v>39</v>
      </c>
      <c r="I30" s="278"/>
      <c r="J30" s="11"/>
      <c r="K30" s="8"/>
      <c r="L30" s="8"/>
      <c r="M30" s="8"/>
      <c r="N30" s="8"/>
      <c r="O30" s="8"/>
      <c r="P30" s="8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spans="1:30" ht="14.25" customHeight="1">
      <c r="A31" s="237" t="s">
        <v>35</v>
      </c>
      <c r="B31" s="242" t="s">
        <v>36</v>
      </c>
      <c r="C31" s="297"/>
      <c r="D31" s="298"/>
      <c r="E31" s="146" t="s">
        <v>53</v>
      </c>
      <c r="F31" s="142" t="s">
        <v>54</v>
      </c>
      <c r="G31" s="145" t="s">
        <v>26</v>
      </c>
      <c r="H31" s="230" t="s">
        <v>51</v>
      </c>
      <c r="I31" s="144" t="s">
        <v>19</v>
      </c>
      <c r="J31" s="8"/>
      <c r="K31" s="8"/>
      <c r="L31" s="8"/>
      <c r="N31" s="8"/>
      <c r="O31" s="8"/>
      <c r="P31" s="8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spans="1:30" ht="15" customHeight="1">
      <c r="A32" s="313"/>
      <c r="B32" s="314"/>
      <c r="C32" s="313"/>
      <c r="D32" s="313"/>
      <c r="E32" s="313"/>
      <c r="F32" s="313"/>
      <c r="G32" s="313"/>
      <c r="H32" s="313"/>
      <c r="I32" s="313"/>
      <c r="J32" s="8"/>
      <c r="K32" s="8"/>
      <c r="L32" s="8"/>
      <c r="M32" s="8"/>
      <c r="N32" s="8"/>
      <c r="O32" s="8"/>
      <c r="P32" s="8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spans="1:30" ht="15" customHeight="1">
      <c r="A33" s="315"/>
      <c r="B33" s="315"/>
      <c r="C33" s="315"/>
      <c r="D33" s="315"/>
      <c r="E33" s="315"/>
      <c r="F33" s="315"/>
      <c r="G33" s="315"/>
      <c r="H33" s="315"/>
      <c r="I33" s="315"/>
      <c r="J33" s="8"/>
      <c r="K33" s="8"/>
      <c r="L33" s="8"/>
      <c r="M33" s="8"/>
      <c r="N33" s="8"/>
      <c r="O33" s="8"/>
      <c r="P33" s="8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:30" ht="14.1" customHeight="1">
      <c r="A34" s="279">
        <f>A24+1</f>
        <v>45988</v>
      </c>
      <c r="B34" s="280"/>
      <c r="C34" s="280"/>
      <c r="D34" s="280"/>
      <c r="E34" s="280"/>
      <c r="F34" s="280"/>
      <c r="G34" s="280"/>
      <c r="H34" s="280"/>
      <c r="I34" s="316"/>
      <c r="J34" s="8"/>
      <c r="K34" s="393"/>
      <c r="L34" s="393"/>
      <c r="M34" s="393"/>
      <c r="N34" s="8"/>
      <c r="O34" s="8"/>
      <c r="P34" s="8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spans="1:30" ht="15">
      <c r="A35" s="106" t="s">
        <v>1</v>
      </c>
      <c r="B35" s="240" t="s">
        <v>2</v>
      </c>
      <c r="C35" s="50" t="s">
        <v>3</v>
      </c>
      <c r="D35" s="231" t="s">
        <v>4</v>
      </c>
      <c r="E35" s="231" t="s">
        <v>5</v>
      </c>
      <c r="F35" s="231" t="s">
        <v>6</v>
      </c>
      <c r="G35" s="231" t="s">
        <v>7</v>
      </c>
      <c r="H35" s="231" t="s">
        <v>8</v>
      </c>
      <c r="I35" s="234" t="s">
        <v>9</v>
      </c>
      <c r="J35" s="8"/>
      <c r="K35" s="93"/>
      <c r="L35" s="94"/>
      <c r="M35" s="90"/>
      <c r="N35" s="8"/>
      <c r="O35" s="8"/>
      <c r="P35" s="8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spans="1:30" ht="13.5" customHeight="1">
      <c r="A36" s="235" t="s">
        <v>10</v>
      </c>
      <c r="B36" s="241" t="s">
        <v>11</v>
      </c>
      <c r="C36" s="229" t="s">
        <v>27</v>
      </c>
      <c r="D36" s="101" t="s">
        <v>37</v>
      </c>
      <c r="E36" s="101" t="s">
        <v>40</v>
      </c>
      <c r="F36" s="275"/>
      <c r="G36" s="283"/>
      <c r="H36" s="228" t="s">
        <v>15</v>
      </c>
      <c r="I36" s="276"/>
      <c r="J36" s="8"/>
      <c r="K36" s="93"/>
      <c r="L36" s="94"/>
      <c r="M36" s="90"/>
      <c r="N36" s="8"/>
      <c r="O36" s="8"/>
      <c r="P36" s="8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spans="1:30" ht="13.5" customHeight="1">
      <c r="A37" s="236" t="s">
        <v>17</v>
      </c>
      <c r="B37" s="120" t="s">
        <v>18</v>
      </c>
      <c r="C37" s="238" t="s">
        <v>42</v>
      </c>
      <c r="D37" s="101" t="s">
        <v>55</v>
      </c>
      <c r="E37" s="101" t="s">
        <v>56</v>
      </c>
      <c r="F37" s="101" t="s">
        <v>31</v>
      </c>
      <c r="G37" s="284"/>
      <c r="H37" s="101" t="s">
        <v>57</v>
      </c>
      <c r="I37" s="277"/>
      <c r="J37" s="8"/>
      <c r="K37" s="8"/>
      <c r="L37" s="8"/>
      <c r="M37" s="8"/>
      <c r="N37" s="8"/>
      <c r="O37" s="8"/>
      <c r="P37" s="8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spans="1:30" ht="13.5" customHeight="1">
      <c r="A38" s="236" t="s">
        <v>22</v>
      </c>
      <c r="B38" s="120" t="s">
        <v>23</v>
      </c>
      <c r="C38" s="238" t="s">
        <v>43</v>
      </c>
      <c r="D38" s="101" t="s">
        <v>49</v>
      </c>
      <c r="E38" s="101" t="s">
        <v>13</v>
      </c>
      <c r="F38" s="101" t="s">
        <v>26</v>
      </c>
      <c r="G38" s="284"/>
      <c r="H38" s="101" t="s">
        <v>55</v>
      </c>
      <c r="I38" s="277"/>
      <c r="J38" s="8"/>
      <c r="K38" s="8"/>
      <c r="L38" s="8"/>
      <c r="M38" s="8"/>
      <c r="N38" s="8"/>
      <c r="O38" s="8"/>
      <c r="P38" s="8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spans="1:30" ht="13.5" customHeight="1">
      <c r="A39" s="236" t="s">
        <v>28</v>
      </c>
      <c r="B39" s="120" t="s">
        <v>29</v>
      </c>
      <c r="C39" s="239" t="s">
        <v>56</v>
      </c>
      <c r="D39" s="101" t="s">
        <v>46</v>
      </c>
      <c r="E39" s="101" t="s">
        <v>30</v>
      </c>
      <c r="F39" s="230" t="s">
        <v>49</v>
      </c>
      <c r="G39" s="284"/>
      <c r="H39" s="101" t="s">
        <v>15</v>
      </c>
      <c r="I39" s="277"/>
      <c r="J39" s="8"/>
      <c r="K39" s="8"/>
      <c r="L39" s="8"/>
      <c r="M39" s="8"/>
      <c r="N39" s="8"/>
      <c r="O39" s="8"/>
      <c r="P39" s="8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spans="1:30" ht="13.5" customHeight="1">
      <c r="A40" s="236" t="s">
        <v>33</v>
      </c>
      <c r="B40" s="243" t="s">
        <v>34</v>
      </c>
      <c r="C40" s="239" t="s">
        <v>30</v>
      </c>
      <c r="D40" s="225" t="s">
        <v>15</v>
      </c>
      <c r="E40" s="204" t="s">
        <v>19</v>
      </c>
      <c r="F40" s="101" t="s">
        <v>27</v>
      </c>
      <c r="G40" s="284"/>
      <c r="H40" s="101" t="s">
        <v>31</v>
      </c>
      <c r="I40" s="278"/>
      <c r="J40" s="8"/>
      <c r="K40" s="11"/>
      <c r="L40" s="8"/>
      <c r="M40" s="8"/>
      <c r="N40" s="8"/>
      <c r="O40" s="8"/>
      <c r="P40" s="8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spans="1:30" ht="14.1" customHeight="1">
      <c r="A41" s="237" t="s">
        <v>35</v>
      </c>
      <c r="B41" s="242" t="s">
        <v>36</v>
      </c>
      <c r="C41" s="297"/>
      <c r="D41" s="298"/>
      <c r="E41" s="146" t="s">
        <v>53</v>
      </c>
      <c r="F41" s="144" t="s">
        <v>58</v>
      </c>
      <c r="G41" s="145" t="s">
        <v>38</v>
      </c>
      <c r="H41" s="230" t="s">
        <v>30</v>
      </c>
      <c r="I41" s="144"/>
      <c r="J41" s="8"/>
      <c r="K41" s="8"/>
      <c r="L41" s="8"/>
      <c r="M41" s="8"/>
      <c r="N41" s="8"/>
      <c r="O41" s="8"/>
      <c r="P41" s="8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spans="1:30" ht="17.25" customHeight="1">
      <c r="A42" s="328"/>
      <c r="B42" s="328"/>
      <c r="C42" s="328"/>
      <c r="D42" s="328"/>
      <c r="E42" s="328"/>
      <c r="F42" s="328"/>
      <c r="G42" s="328"/>
      <c r="H42" s="328"/>
      <c r="I42" s="328"/>
      <c r="J42" s="8"/>
      <c r="K42" s="8"/>
      <c r="L42" s="8"/>
      <c r="M42" s="8"/>
      <c r="N42" s="8"/>
      <c r="O42" s="8"/>
      <c r="P42" s="8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spans="1:30" ht="15" customHeight="1">
      <c r="A43" s="329"/>
      <c r="B43" s="329"/>
      <c r="C43" s="329"/>
      <c r="D43" s="329"/>
      <c r="E43" s="329"/>
      <c r="F43" s="329"/>
      <c r="G43" s="329"/>
      <c r="H43" s="329"/>
      <c r="I43" s="329"/>
      <c r="J43" s="75"/>
      <c r="K43" s="75"/>
      <c r="L43" s="75"/>
      <c r="M43" s="8"/>
      <c r="N43" s="8"/>
      <c r="O43" s="8"/>
      <c r="P43" s="8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spans="1:30" ht="14.1" customHeight="1">
      <c r="A44" s="279">
        <f>A34+1</f>
        <v>45989</v>
      </c>
      <c r="B44" s="280"/>
      <c r="C44" s="280"/>
      <c r="D44" s="280"/>
      <c r="E44" s="280"/>
      <c r="F44" s="280"/>
      <c r="G44" s="280"/>
      <c r="H44" s="280"/>
      <c r="I44" s="316"/>
      <c r="J44" s="8"/>
      <c r="K44" s="393"/>
      <c r="L44" s="393"/>
      <c r="M44" s="393"/>
      <c r="N44" s="34"/>
      <c r="O44" s="8"/>
      <c r="P44" s="8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spans="1:30" ht="15" customHeight="1">
      <c r="A45" s="106" t="s">
        <v>1</v>
      </c>
      <c r="B45" s="240" t="s">
        <v>2</v>
      </c>
      <c r="C45" s="50" t="s">
        <v>3</v>
      </c>
      <c r="D45" s="231" t="s">
        <v>4</v>
      </c>
      <c r="E45" s="231" t="s">
        <v>5</v>
      </c>
      <c r="F45" s="231" t="s">
        <v>6</v>
      </c>
      <c r="G45" s="231" t="s">
        <v>7</v>
      </c>
      <c r="H45" s="231" t="s">
        <v>8</v>
      </c>
      <c r="I45" s="234" t="s">
        <v>9</v>
      </c>
      <c r="J45" s="8"/>
      <c r="K45" s="93"/>
      <c r="L45" s="94"/>
      <c r="M45" s="90"/>
      <c r="N45" s="89"/>
      <c r="O45" s="8"/>
      <c r="P45" s="8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spans="1:30" ht="13.5" customHeight="1">
      <c r="A46" s="79" t="s">
        <v>10</v>
      </c>
      <c r="B46" s="241" t="s">
        <v>11</v>
      </c>
      <c r="C46" s="196" t="s">
        <v>46</v>
      </c>
      <c r="D46" s="143" t="s">
        <v>49</v>
      </c>
      <c r="E46" s="101" t="s">
        <v>37</v>
      </c>
      <c r="F46" s="143" t="s">
        <v>52</v>
      </c>
      <c r="G46" s="283"/>
      <c r="H46" s="101" t="s">
        <v>45</v>
      </c>
      <c r="I46" s="276"/>
      <c r="J46" s="8"/>
      <c r="K46" s="93"/>
      <c r="M46" s="90"/>
      <c r="N46" s="89"/>
      <c r="O46" s="8"/>
      <c r="P46" s="8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spans="1:30" ht="13.5" customHeight="1">
      <c r="A47" s="80" t="s">
        <v>17</v>
      </c>
      <c r="B47" s="120" t="s">
        <v>18</v>
      </c>
      <c r="C47" s="223" t="s">
        <v>30</v>
      </c>
      <c r="D47" s="101" t="s">
        <v>55</v>
      </c>
      <c r="E47" s="101" t="s">
        <v>44</v>
      </c>
      <c r="F47" s="101" t="s">
        <v>46</v>
      </c>
      <c r="G47" s="284"/>
      <c r="H47" s="101" t="s">
        <v>56</v>
      </c>
      <c r="I47" s="277"/>
      <c r="J47" s="11"/>
      <c r="K47" s="89"/>
      <c r="L47" s="89"/>
      <c r="M47" s="89"/>
      <c r="N47" s="89"/>
      <c r="O47" s="8"/>
      <c r="P47" s="8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spans="1:30" ht="15">
      <c r="A48" s="80" t="s">
        <v>22</v>
      </c>
      <c r="B48" s="120" t="s">
        <v>23</v>
      </c>
      <c r="C48" s="223" t="s">
        <v>43</v>
      </c>
      <c r="D48" s="101" t="s">
        <v>59</v>
      </c>
      <c r="E48" s="101" t="s">
        <v>45</v>
      </c>
      <c r="F48" s="230" t="s">
        <v>21</v>
      </c>
      <c r="G48" s="284"/>
      <c r="H48" s="101" t="s">
        <v>46</v>
      </c>
      <c r="I48" s="277"/>
      <c r="J48" s="11"/>
      <c r="K48" s="89"/>
      <c r="L48" s="89"/>
      <c r="M48" s="89"/>
      <c r="N48" s="89"/>
      <c r="O48" s="8"/>
      <c r="P48" s="8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spans="1:30" ht="13.5" customHeight="1">
      <c r="A49" s="80" t="s">
        <v>28</v>
      </c>
      <c r="B49" s="120" t="s">
        <v>29</v>
      </c>
      <c r="C49" s="224" t="s">
        <v>56</v>
      </c>
      <c r="D49" s="250" t="s">
        <v>24</v>
      </c>
      <c r="E49" s="101" t="s">
        <v>46</v>
      </c>
      <c r="F49" s="228" t="s">
        <v>52</v>
      </c>
      <c r="G49" s="284"/>
      <c r="H49" s="274" t="s">
        <v>37</v>
      </c>
      <c r="I49" s="277"/>
      <c r="J49" s="11"/>
      <c r="K49" s="89"/>
      <c r="L49" s="89"/>
      <c r="M49" s="89"/>
      <c r="N49" s="89"/>
      <c r="O49" s="8"/>
      <c r="P49" s="8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spans="1:30" ht="13.5" customHeight="1">
      <c r="A50" s="80" t="s">
        <v>33</v>
      </c>
      <c r="B50" s="243" t="s">
        <v>34</v>
      </c>
      <c r="C50" s="224" t="s">
        <v>51</v>
      </c>
      <c r="D50" s="225" t="s">
        <v>46</v>
      </c>
      <c r="E50" s="101" t="s">
        <v>27</v>
      </c>
      <c r="F50" s="101" t="s">
        <v>24</v>
      </c>
      <c r="G50" s="284"/>
      <c r="H50" s="101" t="s">
        <v>57</v>
      </c>
      <c r="I50" s="278"/>
      <c r="J50" s="11"/>
      <c r="K50" s="89"/>
      <c r="L50" s="89"/>
      <c r="M50" s="89"/>
      <c r="N50" s="89"/>
      <c r="O50" s="8"/>
      <c r="P50" s="8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spans="1:30" ht="14.25" customHeight="1">
      <c r="A51" s="81" t="s">
        <v>35</v>
      </c>
      <c r="B51" s="242" t="s">
        <v>36</v>
      </c>
      <c r="C51" s="330"/>
      <c r="D51" s="298"/>
      <c r="E51" s="146" t="s">
        <v>51</v>
      </c>
      <c r="F51" s="230" t="s">
        <v>27</v>
      </c>
      <c r="G51" s="145" t="s">
        <v>31</v>
      </c>
      <c r="H51" s="147" t="s">
        <v>54</v>
      </c>
      <c r="I51" s="144" t="s">
        <v>38</v>
      </c>
      <c r="J51" s="8"/>
      <c r="K51" s="89"/>
      <c r="L51" s="89"/>
      <c r="M51" s="89"/>
      <c r="N51" s="89"/>
      <c r="O51" s="8"/>
      <c r="P51" s="8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spans="1:30" ht="13.5" customHeight="1">
      <c r="A52" s="286"/>
      <c r="B52" s="286"/>
      <c r="C52" s="286"/>
      <c r="D52" s="286"/>
      <c r="E52" s="286"/>
      <c r="F52" s="286"/>
      <c r="G52" s="286"/>
      <c r="H52" s="286"/>
      <c r="I52" s="286"/>
      <c r="J52" s="8"/>
      <c r="K52" s="8"/>
      <c r="L52" s="8"/>
      <c r="M52" s="8"/>
      <c r="N52" s="8"/>
      <c r="O52" s="8"/>
      <c r="P52" s="8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spans="1:30" ht="15">
      <c r="A53" s="286"/>
      <c r="B53" s="286"/>
      <c r="C53" s="286"/>
      <c r="D53" s="286"/>
      <c r="E53" s="286"/>
      <c r="F53" s="286"/>
      <c r="G53" s="286"/>
      <c r="H53" s="286"/>
      <c r="I53" s="286"/>
      <c r="J53" s="8"/>
      <c r="K53" s="8"/>
      <c r="L53" s="8"/>
      <c r="M53" s="8"/>
      <c r="N53" s="8"/>
      <c r="O53" s="8"/>
      <c r="P53" s="8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 spans="1:30" ht="14.1" customHeight="1">
      <c r="A54" s="287">
        <f>A44+1</f>
        <v>45990</v>
      </c>
      <c r="B54" s="288"/>
      <c r="C54" s="288"/>
      <c r="D54" s="289"/>
      <c r="E54" s="11"/>
      <c r="F54" s="11"/>
      <c r="G54" s="44" t="s">
        <v>60</v>
      </c>
      <c r="H54" s="99">
        <f>A13</f>
        <v>45986</v>
      </c>
      <c r="I54" s="97"/>
      <c r="J54" s="8"/>
      <c r="K54" s="8"/>
      <c r="L54" s="8"/>
      <c r="M54" s="8"/>
      <c r="N54" s="8"/>
      <c r="O54" s="8"/>
      <c r="P54" s="8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spans="1:30" ht="14.1" customHeight="1">
      <c r="A55" s="107" t="s">
        <v>1</v>
      </c>
      <c r="B55" s="108" t="s">
        <v>2</v>
      </c>
      <c r="C55" s="110" t="s">
        <v>61</v>
      </c>
      <c r="D55" s="109" t="s">
        <v>62</v>
      </c>
      <c r="E55" s="11"/>
      <c r="F55" s="11"/>
      <c r="G55" s="290" t="s">
        <v>63</v>
      </c>
      <c r="H55" s="292" t="s">
        <v>64</v>
      </c>
      <c r="I55" s="98"/>
      <c r="J55" s="8"/>
      <c r="K55" s="8"/>
      <c r="L55" s="8"/>
      <c r="M55" s="8"/>
      <c r="N55" s="8"/>
      <c r="O55" s="8"/>
      <c r="P55" s="8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spans="1:30" ht="14.1" customHeight="1">
      <c r="A56" s="52" t="s">
        <v>10</v>
      </c>
      <c r="B56" s="19" t="s">
        <v>65</v>
      </c>
      <c r="C56" s="111" t="s">
        <v>56</v>
      </c>
      <c r="D56" s="198" t="s">
        <v>51</v>
      </c>
      <c r="E56" s="11"/>
      <c r="F56" s="11"/>
      <c r="G56" s="291"/>
      <c r="H56" s="293"/>
      <c r="I56" s="98"/>
      <c r="J56" s="8"/>
      <c r="K56" s="8"/>
      <c r="L56" s="8"/>
      <c r="M56" s="8"/>
      <c r="N56" s="8"/>
      <c r="O56" s="8"/>
      <c r="P56" s="8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 spans="1:30" ht="14.1" customHeight="1">
      <c r="A57" s="53" t="s">
        <v>17</v>
      </c>
      <c r="B57" s="54" t="s">
        <v>66</v>
      </c>
      <c r="C57" s="197" t="s">
        <v>67</v>
      </c>
      <c r="D57" s="199" t="s">
        <v>16</v>
      </c>
      <c r="E57" s="11"/>
      <c r="F57" s="11"/>
      <c r="G57" s="83"/>
      <c r="H57" s="100"/>
      <c r="I57" s="98"/>
      <c r="J57" s="8"/>
      <c r="K57" s="8"/>
      <c r="L57" s="8"/>
      <c r="M57" s="8"/>
      <c r="N57" s="8"/>
      <c r="O57" s="8"/>
      <c r="P57" s="8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 spans="1:30" ht="16.5" customHeight="1">
      <c r="A58" s="15"/>
      <c r="B58" s="15"/>
      <c r="C58" s="15"/>
      <c r="D58" s="75"/>
      <c r="E58" s="11"/>
      <c r="F58" s="11"/>
      <c r="G58" s="137" t="s">
        <v>68</v>
      </c>
      <c r="H58" s="140" t="s">
        <v>2</v>
      </c>
      <c r="I58" s="98"/>
      <c r="J58" s="13"/>
      <c r="K58" s="8"/>
      <c r="L58" s="8"/>
      <c r="M58" s="8"/>
      <c r="N58" s="8"/>
      <c r="O58" s="8"/>
      <c r="P58" s="8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 spans="1:30" ht="15">
      <c r="A59" s="15"/>
      <c r="B59" s="285"/>
      <c r="C59" s="285"/>
      <c r="D59" s="285"/>
      <c r="E59" s="285"/>
      <c r="F59" s="11"/>
      <c r="G59" s="138"/>
      <c r="H59" s="139">
        <v>0.26041666666666669</v>
      </c>
      <c r="I59" s="98"/>
      <c r="J59" s="8"/>
      <c r="K59" s="8"/>
      <c r="L59" s="8"/>
      <c r="M59" s="8"/>
      <c r="N59" s="8"/>
      <c r="O59" s="8"/>
      <c r="P59" s="8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</row>
    <row r="60" spans="1:30" ht="15">
      <c r="A60" s="15"/>
      <c r="B60" s="135"/>
      <c r="C60" s="135"/>
      <c r="D60" s="15"/>
      <c r="E60" s="15"/>
      <c r="F60" s="75"/>
      <c r="G60" s="82"/>
      <c r="H60" s="75"/>
      <c r="I60" s="75"/>
      <c r="J60" s="8"/>
      <c r="K60" s="8"/>
      <c r="L60" s="8"/>
      <c r="M60" s="8"/>
      <c r="N60" s="8"/>
      <c r="O60" s="8"/>
      <c r="P60" s="8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</row>
    <row r="61" spans="1:30" ht="15">
      <c r="A61" s="15"/>
      <c r="B61" s="15"/>
      <c r="C61" s="15"/>
      <c r="D61" s="75"/>
      <c r="E61" s="75"/>
      <c r="F61" s="75"/>
      <c r="G61" s="82"/>
      <c r="H61" s="78"/>
      <c r="I61" s="78"/>
      <c r="J61" s="8"/>
      <c r="K61" s="8"/>
      <c r="L61" s="8"/>
      <c r="M61" s="8"/>
      <c r="N61" s="8"/>
      <c r="O61" s="8"/>
      <c r="P61" s="8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</row>
    <row r="62" spans="1:30" ht="15">
      <c r="A62" s="15"/>
      <c r="B62" s="15"/>
      <c r="C62" s="15"/>
      <c r="D62" s="75"/>
      <c r="E62" s="75"/>
      <c r="F62" s="75"/>
      <c r="G62" s="82"/>
      <c r="H62" s="78"/>
      <c r="I62" s="78"/>
      <c r="J62" s="8"/>
      <c r="K62" s="8"/>
      <c r="L62" s="8"/>
      <c r="M62" s="8"/>
      <c r="N62" s="8"/>
      <c r="O62" s="8"/>
      <c r="P62" s="8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</row>
    <row r="63" spans="1:30" ht="15">
      <c r="A63" s="15"/>
      <c r="B63" s="15"/>
      <c r="C63" s="15"/>
      <c r="D63" s="15"/>
      <c r="E63" s="75"/>
      <c r="F63" s="75"/>
      <c r="G63" s="82"/>
      <c r="H63" s="78"/>
      <c r="I63" s="78"/>
      <c r="J63" s="8"/>
      <c r="K63" s="8"/>
      <c r="L63" s="8"/>
      <c r="M63" s="8"/>
      <c r="N63" s="8"/>
      <c r="O63" s="8"/>
      <c r="P63" s="8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</row>
    <row r="64" spans="1:30" ht="15">
      <c r="A64" s="15"/>
      <c r="B64" s="15"/>
      <c r="D64" s="11"/>
      <c r="E64" s="75"/>
      <c r="F64" s="75"/>
      <c r="G64" s="82"/>
      <c r="H64" s="78"/>
      <c r="I64" s="78"/>
      <c r="J64" s="8"/>
      <c r="K64" s="8"/>
      <c r="L64" s="8"/>
      <c r="M64" s="8"/>
      <c r="N64" s="8"/>
      <c r="O64" s="8"/>
      <c r="P64" s="8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</row>
    <row r="65" spans="1:30" ht="15">
      <c r="A65" s="15"/>
      <c r="B65" s="15"/>
      <c r="C65" s="15"/>
      <c r="D65" s="15"/>
      <c r="E65" s="78"/>
      <c r="F65" s="78"/>
      <c r="G65" s="82"/>
      <c r="H65" s="78"/>
      <c r="I65" s="78"/>
      <c r="J65" s="8"/>
      <c r="K65" s="8"/>
      <c r="L65" s="8"/>
      <c r="M65" s="8"/>
      <c r="N65" s="8"/>
      <c r="O65" s="8"/>
      <c r="P65" s="8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</row>
    <row r="66" spans="1:30" ht="12" customHeight="1">
      <c r="A66" s="15"/>
      <c r="B66" s="15"/>
      <c r="C66" s="15"/>
      <c r="D66" s="15"/>
      <c r="E66" s="11"/>
      <c r="F66" s="8"/>
      <c r="G66" s="34"/>
      <c r="H66" s="8"/>
      <c r="I66" s="8"/>
      <c r="J66" s="8"/>
      <c r="K66" s="8"/>
      <c r="L66" s="8"/>
      <c r="M66" s="8"/>
      <c r="N66" s="8"/>
      <c r="O66" s="8"/>
      <c r="P66" s="8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</row>
    <row r="67" spans="1:30" ht="12" customHeight="1">
      <c r="A67" s="11"/>
      <c r="B67" s="11"/>
      <c r="C67" s="84"/>
      <c r="D67" s="15"/>
      <c r="E67" s="11"/>
      <c r="F67" s="8"/>
      <c r="G67" s="34"/>
      <c r="H67" s="8"/>
      <c r="I67" s="8"/>
      <c r="J67" s="8"/>
      <c r="K67" s="8"/>
      <c r="L67" s="8"/>
      <c r="M67" s="8"/>
      <c r="N67" s="8"/>
      <c r="O67" s="8"/>
      <c r="P67" s="8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</row>
    <row r="68" spans="1:30" ht="12" customHeight="1">
      <c r="A68" s="11"/>
      <c r="B68" s="11"/>
      <c r="C68" s="85"/>
      <c r="D68" s="11"/>
      <c r="E68" s="11"/>
      <c r="F68" s="11"/>
      <c r="G68" s="65"/>
      <c r="H68" s="11"/>
      <c r="I68" s="11"/>
      <c r="J68" s="8"/>
      <c r="K68" s="8"/>
      <c r="L68" s="8"/>
      <c r="M68" s="8"/>
      <c r="N68" s="8"/>
      <c r="O68" s="8"/>
      <c r="P68" s="8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</row>
    <row r="69" spans="1:30" ht="12" customHeight="1">
      <c r="A69" s="11"/>
      <c r="B69" s="11"/>
      <c r="C69" s="85"/>
      <c r="D69" s="11"/>
      <c r="E69" s="11"/>
      <c r="F69" s="11"/>
      <c r="G69" s="65"/>
      <c r="H69" s="11"/>
      <c r="I69" s="11"/>
      <c r="J69" s="8"/>
      <c r="K69" s="8"/>
      <c r="L69" s="8"/>
      <c r="M69" s="8"/>
      <c r="N69" s="8"/>
      <c r="O69" s="8"/>
      <c r="P69" s="8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</row>
    <row r="70" spans="1:30" ht="12" customHeight="1">
      <c r="A70" s="11"/>
      <c r="B70" s="11"/>
      <c r="C70" s="85"/>
      <c r="D70" s="11"/>
      <c r="E70" s="11"/>
      <c r="F70" s="11"/>
      <c r="G70" s="65"/>
      <c r="H70" s="11"/>
      <c r="I70" s="11"/>
      <c r="J70" s="8"/>
      <c r="K70" s="8"/>
      <c r="L70" s="8"/>
      <c r="M70" s="8"/>
      <c r="N70" s="8"/>
      <c r="O70" s="8"/>
      <c r="P70" s="8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</row>
    <row r="71" spans="1:30" ht="12" customHeight="1">
      <c r="A71" s="11"/>
      <c r="B71" s="11"/>
      <c r="C71" s="85"/>
      <c r="D71" s="11"/>
      <c r="E71" s="11"/>
      <c r="F71" s="11"/>
      <c r="G71" s="65"/>
      <c r="H71" s="11"/>
      <c r="I71" s="11"/>
      <c r="J71" s="8"/>
      <c r="K71" s="8"/>
      <c r="L71" s="8"/>
      <c r="M71" s="8"/>
      <c r="N71" s="8"/>
      <c r="O71" s="8"/>
      <c r="P71" s="8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</row>
    <row r="72" spans="1:30" ht="12" customHeight="1">
      <c r="A72" s="11"/>
      <c r="B72" s="11"/>
      <c r="C72" s="85"/>
      <c r="D72" s="11"/>
      <c r="E72" s="11"/>
      <c r="F72" s="11"/>
      <c r="G72" s="65"/>
      <c r="H72" s="11"/>
      <c r="I72" s="11"/>
      <c r="J72" s="78"/>
      <c r="K72" s="78"/>
      <c r="L72" s="8"/>
      <c r="M72" s="8"/>
      <c r="N72" s="8"/>
      <c r="O72" s="8"/>
      <c r="P72" s="8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</row>
    <row r="73" spans="1:30" ht="7.5" customHeight="1">
      <c r="A73" s="11"/>
      <c r="B73" s="11"/>
      <c r="C73" s="85"/>
      <c r="D73" s="11"/>
      <c r="E73" s="11"/>
      <c r="F73" s="11"/>
      <c r="G73" s="65"/>
      <c r="H73" s="11"/>
      <c r="I73" s="11"/>
      <c r="J73" s="78"/>
      <c r="K73" s="78"/>
      <c r="L73" s="8"/>
      <c r="M73" s="8"/>
      <c r="N73" s="8"/>
      <c r="O73" s="8"/>
      <c r="P73" s="8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</row>
    <row r="74" spans="1:30" ht="12" customHeight="1">
      <c r="A74" s="11"/>
      <c r="B74" s="11"/>
      <c r="C74" s="85"/>
      <c r="D74" s="11"/>
      <c r="E74" s="11"/>
      <c r="F74" s="11"/>
      <c r="G74" s="65"/>
      <c r="H74" s="11"/>
      <c r="I74" s="11"/>
      <c r="J74" s="78"/>
      <c r="K74" s="78"/>
      <c r="L74" s="8"/>
      <c r="M74" s="8"/>
      <c r="N74" s="8"/>
      <c r="O74" s="8"/>
      <c r="P74" s="8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</row>
    <row r="75" spans="1:30" ht="12" customHeight="1">
      <c r="A75" s="11"/>
      <c r="B75" s="11"/>
      <c r="C75" s="85"/>
      <c r="D75" s="85"/>
      <c r="E75" s="85"/>
      <c r="F75" s="85"/>
      <c r="G75" s="86"/>
      <c r="H75" s="85"/>
      <c r="I75" s="85"/>
      <c r="J75" s="85"/>
      <c r="K75" s="85"/>
      <c r="L75" s="8"/>
      <c r="M75" s="8"/>
      <c r="N75" s="8"/>
      <c r="O75" s="8"/>
      <c r="P75" s="8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</row>
    <row r="76" spans="1:30" ht="12" customHeight="1">
      <c r="A76" s="11"/>
      <c r="B76" s="11"/>
      <c r="C76" s="85"/>
      <c r="D76" s="85"/>
      <c r="E76" s="85"/>
      <c r="F76" s="85"/>
      <c r="G76" s="86"/>
      <c r="H76" s="85"/>
      <c r="I76" s="85"/>
      <c r="J76" s="85"/>
      <c r="K76" s="85"/>
      <c r="L76" s="8"/>
      <c r="M76" s="8"/>
      <c r="N76" s="8"/>
      <c r="O76" s="8"/>
      <c r="P76" s="8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</row>
    <row r="77" spans="1:30" ht="12" customHeight="1">
      <c r="A77" s="11"/>
      <c r="B77" s="11"/>
      <c r="C77" s="85"/>
      <c r="D77" s="85"/>
      <c r="E77" s="85"/>
      <c r="F77" s="85"/>
      <c r="G77" s="86"/>
      <c r="H77" s="85"/>
      <c r="I77" s="85"/>
      <c r="J77" s="85"/>
      <c r="K77" s="85"/>
      <c r="L77" s="8"/>
      <c r="M77" s="8"/>
      <c r="N77" s="8"/>
      <c r="O77" s="8"/>
      <c r="P77" s="8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</row>
    <row r="78" spans="1:30" ht="12" customHeight="1">
      <c r="A78" s="11"/>
      <c r="B78" s="11"/>
      <c r="C78" s="85"/>
      <c r="D78" s="85"/>
      <c r="E78" s="85"/>
      <c r="F78" s="85"/>
      <c r="G78" s="86"/>
      <c r="H78" s="85"/>
      <c r="I78" s="85"/>
      <c r="J78" s="85"/>
      <c r="K78" s="85"/>
      <c r="L78" s="8"/>
      <c r="M78" s="8"/>
      <c r="N78" s="8"/>
      <c r="O78" s="8"/>
      <c r="P78" s="8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</row>
    <row r="79" spans="1:30" ht="12" customHeight="1">
      <c r="A79" s="11"/>
      <c r="B79" s="11"/>
      <c r="C79" s="85"/>
      <c r="D79" s="85"/>
      <c r="E79" s="85"/>
      <c r="F79" s="85"/>
      <c r="G79" s="86"/>
      <c r="H79" s="85"/>
      <c r="I79" s="85"/>
      <c r="J79" s="85"/>
      <c r="K79" s="85"/>
      <c r="P79" s="8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</row>
    <row r="80" spans="1:30" ht="12" customHeight="1">
      <c r="A80" s="11"/>
      <c r="B80" s="11"/>
      <c r="C80" s="85"/>
      <c r="D80" s="85"/>
      <c r="E80" s="85"/>
      <c r="F80" s="85"/>
      <c r="G80" s="86"/>
      <c r="H80" s="85"/>
      <c r="I80" s="85"/>
      <c r="J80" s="85"/>
      <c r="K80" s="85"/>
      <c r="P80" s="8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</row>
    <row r="81" spans="1:30" ht="12" customHeight="1">
      <c r="A81" s="11"/>
      <c r="B81" s="11"/>
      <c r="C81" s="85"/>
      <c r="D81" s="85"/>
      <c r="E81" s="85"/>
      <c r="F81" s="85"/>
      <c r="G81" s="86"/>
      <c r="H81" s="85"/>
      <c r="I81" s="85"/>
      <c r="J81" s="85"/>
      <c r="K81" s="85"/>
      <c r="P81" s="8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</row>
    <row r="82" spans="1:30" ht="12" customHeight="1">
      <c r="A82" s="11"/>
      <c r="B82" s="11"/>
      <c r="C82" s="85"/>
      <c r="D82" s="85"/>
      <c r="E82" s="85"/>
      <c r="F82" s="85"/>
      <c r="G82" s="86"/>
      <c r="H82" s="85"/>
      <c r="I82" s="85"/>
      <c r="J82" s="85"/>
      <c r="K82" s="85"/>
      <c r="P82" s="8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</row>
    <row r="83" spans="1:30" ht="12" customHeight="1">
      <c r="A83" s="11"/>
      <c r="B83" s="11"/>
      <c r="C83" s="85"/>
      <c r="D83" s="85"/>
      <c r="E83" s="85"/>
      <c r="F83" s="85"/>
      <c r="G83" s="86"/>
      <c r="H83" s="85"/>
      <c r="I83" s="85"/>
      <c r="J83" s="85"/>
      <c r="K83" s="85"/>
      <c r="P83" s="8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</row>
    <row r="84" spans="1:30" ht="12" customHeight="1">
      <c r="A84" s="11"/>
      <c r="B84" s="11"/>
      <c r="C84" s="85"/>
      <c r="D84" s="85"/>
      <c r="E84" s="85"/>
      <c r="F84" s="85"/>
      <c r="G84" s="86"/>
      <c r="H84" s="85"/>
      <c r="I84" s="85"/>
      <c r="J84" s="85"/>
      <c r="K84" s="85"/>
      <c r="P84" s="8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</row>
    <row r="85" spans="1:30" ht="12" customHeight="1">
      <c r="A85" s="11"/>
      <c r="B85" s="11"/>
      <c r="C85" s="85"/>
      <c r="D85" s="85"/>
      <c r="E85" s="85"/>
      <c r="F85" s="85"/>
      <c r="G85" s="86"/>
      <c r="H85" s="85"/>
      <c r="I85" s="85"/>
      <c r="J85" s="85"/>
      <c r="K85" s="85"/>
      <c r="P85" s="8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</row>
    <row r="86" spans="1:30" ht="12" customHeight="1">
      <c r="A86" s="11"/>
      <c r="B86" s="11"/>
      <c r="C86" s="85"/>
      <c r="D86" s="85"/>
      <c r="E86" s="85"/>
      <c r="F86" s="85"/>
      <c r="G86" s="86"/>
      <c r="H86" s="85"/>
      <c r="I86" s="85"/>
      <c r="J86" s="85"/>
      <c r="K86" s="85"/>
      <c r="P86" s="8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</row>
    <row r="87" spans="1:30" ht="12" customHeight="1">
      <c r="A87" s="11"/>
      <c r="B87" s="11"/>
      <c r="C87" s="85"/>
      <c r="D87" s="85"/>
      <c r="E87" s="85"/>
      <c r="F87" s="85"/>
      <c r="G87" s="86"/>
      <c r="H87" s="85"/>
      <c r="I87" s="85"/>
      <c r="J87" s="85"/>
      <c r="K87" s="85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</row>
    <row r="88" spans="1:30" ht="12" customHeight="1">
      <c r="A88" s="87"/>
      <c r="B88" s="88"/>
      <c r="C88" s="85"/>
      <c r="D88" s="85"/>
      <c r="E88" s="85"/>
      <c r="F88" s="85"/>
      <c r="G88" s="86"/>
      <c r="H88" s="85"/>
      <c r="I88" s="85"/>
      <c r="J88" s="85"/>
      <c r="K88" s="85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</row>
    <row r="89" spans="1:30" ht="12" customHeight="1">
      <c r="A89" s="87"/>
      <c r="B89" s="88"/>
      <c r="C89" s="85"/>
      <c r="D89" s="85"/>
      <c r="E89" s="85"/>
      <c r="F89" s="85"/>
      <c r="G89" s="86"/>
      <c r="H89" s="85"/>
      <c r="I89" s="85"/>
      <c r="J89" s="85"/>
      <c r="K89" s="85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</row>
    <row r="90" spans="1:30" ht="12" customHeight="1">
      <c r="A90" s="11"/>
      <c r="B90" s="11"/>
      <c r="C90" s="85"/>
      <c r="D90" s="85"/>
      <c r="E90" s="85"/>
      <c r="F90" s="85"/>
      <c r="G90" s="86"/>
      <c r="H90" s="85"/>
      <c r="I90" s="85"/>
      <c r="J90" s="85"/>
      <c r="K90" s="85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</row>
    <row r="91" spans="1:30" ht="12" customHeight="1">
      <c r="A91" s="11"/>
      <c r="B91" s="11"/>
      <c r="C91" s="11"/>
      <c r="D91" s="85"/>
      <c r="E91" s="85"/>
      <c r="F91" s="85"/>
      <c r="G91" s="86"/>
      <c r="H91" s="85"/>
      <c r="I91" s="85"/>
      <c r="J91" s="85"/>
      <c r="K91" s="85"/>
      <c r="M91" s="8"/>
      <c r="N91" s="8"/>
      <c r="O91" s="8"/>
      <c r="P91" s="8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</row>
    <row r="92" spans="1:30" ht="12" customHeight="1">
      <c r="A92" s="11"/>
      <c r="B92" s="11"/>
      <c r="C92" s="11"/>
      <c r="D92" s="11"/>
      <c r="E92" s="11"/>
      <c r="F92" s="11"/>
      <c r="G92" s="65"/>
      <c r="H92" s="11"/>
      <c r="I92" s="11"/>
      <c r="J92" s="11"/>
      <c r="K92" s="11"/>
      <c r="M92" s="8"/>
      <c r="N92" s="8"/>
      <c r="O92" s="8"/>
      <c r="P92" s="8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</row>
    <row r="93" spans="1:30" ht="12" customHeight="1">
      <c r="A93" s="11"/>
      <c r="B93" s="11"/>
      <c r="C93" s="11"/>
      <c r="D93" s="11"/>
      <c r="E93" s="11"/>
      <c r="F93" s="11"/>
      <c r="G93" s="65"/>
      <c r="H93" s="11"/>
      <c r="I93" s="11"/>
      <c r="J93" s="11"/>
      <c r="K93" s="11"/>
      <c r="M93" s="8"/>
      <c r="N93" s="8"/>
      <c r="O93" s="8"/>
      <c r="P93" s="8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 spans="1:30" ht="12" customHeight="1">
      <c r="A94" s="11"/>
      <c r="B94" s="11"/>
      <c r="C94" s="11"/>
      <c r="D94" s="11"/>
      <c r="E94" s="11"/>
      <c r="F94" s="11"/>
      <c r="G94" s="65"/>
      <c r="H94" s="11"/>
      <c r="I94" s="11"/>
      <c r="J94" s="11"/>
      <c r="K94" s="11"/>
      <c r="M94" s="8"/>
      <c r="N94" s="8"/>
      <c r="O94" s="8"/>
      <c r="P94" s="8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 spans="1:30" ht="12" customHeight="1">
      <c r="A95" s="11"/>
      <c r="B95" s="11"/>
      <c r="C95" s="11"/>
      <c r="D95" s="11"/>
      <c r="E95" s="11"/>
      <c r="F95" s="11"/>
      <c r="G95" s="65"/>
      <c r="H95" s="11"/>
      <c r="I95" s="11"/>
      <c r="J95" s="11"/>
      <c r="K95" s="11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</row>
    <row r="96" spans="1:30" ht="12" customHeight="1">
      <c r="A96" s="11"/>
      <c r="B96" s="11"/>
      <c r="C96" s="11"/>
      <c r="D96" s="11"/>
      <c r="E96" s="11"/>
      <c r="F96" s="11"/>
      <c r="G96" s="65"/>
      <c r="H96" s="11"/>
      <c r="I96" s="11"/>
      <c r="J96" s="11"/>
      <c r="K96" s="11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</row>
    <row r="97" spans="1:30" ht="12" customHeight="1">
      <c r="A97" s="11"/>
      <c r="B97" s="11"/>
      <c r="C97" s="11"/>
      <c r="D97" s="11"/>
      <c r="E97" s="11"/>
      <c r="F97" s="11"/>
      <c r="G97" s="65"/>
      <c r="H97" s="11"/>
      <c r="I97" s="11"/>
      <c r="J97" s="11"/>
      <c r="K97" s="11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</row>
    <row r="98" spans="1:30" ht="12" customHeight="1">
      <c r="A98" s="11"/>
      <c r="B98" s="11"/>
      <c r="C98" s="11"/>
      <c r="D98" s="11"/>
      <c r="E98" s="11"/>
      <c r="F98" s="11"/>
      <c r="G98" s="65"/>
      <c r="H98" s="11"/>
      <c r="I98" s="11"/>
      <c r="J98" s="11"/>
      <c r="K98" s="11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</row>
    <row r="99" spans="1:30" ht="12" customHeight="1">
      <c r="A99" s="11"/>
      <c r="B99" s="11"/>
      <c r="C99" s="11"/>
      <c r="D99" s="11"/>
      <c r="E99" s="11"/>
      <c r="F99" s="11"/>
      <c r="G99" s="65"/>
      <c r="H99" s="11"/>
      <c r="I99" s="11"/>
      <c r="J99" s="11"/>
      <c r="K99" s="11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</row>
    <row r="100" spans="1:30" ht="12" customHeight="1">
      <c r="A100" s="11"/>
      <c r="B100" s="11"/>
      <c r="C100" s="11"/>
      <c r="D100" s="11"/>
      <c r="E100" s="11"/>
      <c r="F100" s="11"/>
      <c r="G100" s="65"/>
      <c r="H100" s="11"/>
      <c r="I100" s="11"/>
      <c r="J100" s="11"/>
      <c r="K100" s="11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</row>
    <row r="101" spans="1:30" ht="12" customHeight="1">
      <c r="A101" s="11"/>
      <c r="B101" s="11"/>
      <c r="C101" s="11"/>
      <c r="D101" s="11"/>
      <c r="E101" s="11"/>
      <c r="F101" s="11"/>
      <c r="G101" s="65"/>
      <c r="H101" s="11"/>
      <c r="I101" s="11"/>
      <c r="J101" s="11"/>
      <c r="K101" s="11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</row>
    <row r="102" spans="1:30" ht="12" customHeight="1">
      <c r="A102" s="11"/>
      <c r="B102" s="11"/>
      <c r="C102" s="11"/>
      <c r="D102" s="11"/>
      <c r="E102" s="11"/>
      <c r="F102" s="11"/>
      <c r="G102" s="65"/>
      <c r="H102" s="11"/>
      <c r="I102" s="11"/>
      <c r="J102" s="11"/>
      <c r="K102" s="11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</row>
    <row r="103" spans="1:30" ht="12" customHeight="1">
      <c r="A103" s="11"/>
      <c r="B103" s="11"/>
      <c r="C103" s="11"/>
      <c r="D103" s="11"/>
      <c r="E103" s="11"/>
      <c r="F103" s="11"/>
      <c r="G103" s="65"/>
      <c r="H103" s="11"/>
      <c r="I103" s="11"/>
      <c r="J103" s="11"/>
      <c r="K103" s="11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</row>
    <row r="104" spans="1:30" ht="12" customHeight="1">
      <c r="A104" s="11"/>
      <c r="B104" s="11"/>
      <c r="C104" s="11"/>
      <c r="D104" s="11"/>
      <c r="E104" s="11"/>
      <c r="F104" s="11"/>
      <c r="G104" s="65"/>
      <c r="H104" s="11"/>
      <c r="I104" s="11"/>
      <c r="J104" s="11"/>
      <c r="K104" s="11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</row>
    <row r="105" spans="1:30" ht="12" customHeight="1">
      <c r="A105" s="11"/>
      <c r="B105" s="11"/>
      <c r="C105" s="11"/>
      <c r="D105" s="11"/>
      <c r="E105" s="11"/>
      <c r="F105" s="11"/>
      <c r="G105" s="65"/>
      <c r="H105" s="11"/>
      <c r="I105" s="11"/>
      <c r="J105" s="11"/>
      <c r="K105" s="11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</row>
    <row r="106" spans="1:30" ht="12" customHeight="1">
      <c r="A106" s="11"/>
      <c r="B106" s="11"/>
      <c r="C106" s="11"/>
      <c r="D106" s="11"/>
      <c r="E106" s="11"/>
      <c r="F106" s="11"/>
      <c r="G106" s="65"/>
      <c r="H106" s="11"/>
      <c r="I106" s="11"/>
      <c r="J106" s="11"/>
      <c r="K106" s="11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</row>
    <row r="107" spans="1:30" ht="12" customHeight="1">
      <c r="A107" s="11"/>
      <c r="B107" s="11"/>
      <c r="C107" s="11"/>
      <c r="D107" s="11"/>
      <c r="E107" s="11"/>
      <c r="F107" s="11"/>
      <c r="G107" s="65"/>
      <c r="H107" s="11"/>
      <c r="I107" s="11"/>
      <c r="J107" s="11"/>
      <c r="K107" s="11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</row>
    <row r="108" spans="1:30" s="11" customFormat="1" ht="14.25" customHeight="1">
      <c r="G108" s="65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</row>
    <row r="109" spans="1:30" s="11" customFormat="1" ht="14.25" customHeight="1">
      <c r="G109" s="65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</row>
    <row r="110" spans="1:30" s="11" customFormat="1" ht="14.25" customHeight="1">
      <c r="G110" s="65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</row>
    <row r="111" spans="1:30" s="11" customFormat="1">
      <c r="G111" s="65"/>
    </row>
    <row r="112" spans="1:30" s="11" customFormat="1">
      <c r="G112" s="65"/>
    </row>
    <row r="113" spans="7:7" s="11" customFormat="1">
      <c r="G113" s="65"/>
    </row>
    <row r="114" spans="7:7" s="11" customFormat="1">
      <c r="G114" s="65"/>
    </row>
    <row r="115" spans="7:7" s="11" customFormat="1">
      <c r="G115" s="65"/>
    </row>
    <row r="116" spans="7:7" s="11" customFormat="1">
      <c r="G116" s="65"/>
    </row>
    <row r="117" spans="7:7" s="11" customFormat="1">
      <c r="G117" s="65"/>
    </row>
    <row r="118" spans="7:7" s="11" customFormat="1">
      <c r="G118" s="65"/>
    </row>
    <row r="119" spans="7:7" s="11" customFormat="1">
      <c r="G119" s="65"/>
    </row>
    <row r="120" spans="7:7" s="11" customFormat="1">
      <c r="G120" s="65"/>
    </row>
    <row r="121" spans="7:7" s="11" customFormat="1">
      <c r="G121" s="65"/>
    </row>
    <row r="122" spans="7:7" s="11" customFormat="1">
      <c r="G122" s="65"/>
    </row>
    <row r="123" spans="7:7" s="11" customFormat="1">
      <c r="G123" s="65"/>
    </row>
    <row r="124" spans="7:7" s="11" customFormat="1">
      <c r="G124" s="65"/>
    </row>
    <row r="125" spans="7:7" s="11" customFormat="1">
      <c r="G125" s="65"/>
    </row>
    <row r="126" spans="7:7" s="11" customFormat="1">
      <c r="G126" s="65"/>
    </row>
    <row r="127" spans="7:7" s="11" customFormat="1">
      <c r="G127" s="65"/>
    </row>
    <row r="128" spans="7:7" s="11" customFormat="1">
      <c r="G128" s="65"/>
    </row>
    <row r="129" spans="7:7" s="11" customFormat="1">
      <c r="G129" s="65"/>
    </row>
    <row r="130" spans="7:7" s="11" customFormat="1">
      <c r="G130" s="65"/>
    </row>
    <row r="131" spans="7:7" s="11" customFormat="1">
      <c r="G131" s="65"/>
    </row>
    <row r="132" spans="7:7" s="11" customFormat="1">
      <c r="G132" s="65"/>
    </row>
    <row r="133" spans="7:7" s="11" customFormat="1">
      <c r="G133" s="65"/>
    </row>
    <row r="134" spans="7:7" s="11" customFormat="1">
      <c r="G134" s="65"/>
    </row>
    <row r="135" spans="7:7" s="11" customFormat="1">
      <c r="G135" s="65"/>
    </row>
    <row r="136" spans="7:7" s="11" customFormat="1">
      <c r="G136" s="65"/>
    </row>
    <row r="137" spans="7:7" s="11" customFormat="1">
      <c r="G137" s="65"/>
    </row>
    <row r="138" spans="7:7" s="11" customFormat="1">
      <c r="G138" s="65"/>
    </row>
    <row r="139" spans="7:7" s="11" customFormat="1">
      <c r="G139" s="65"/>
    </row>
    <row r="140" spans="7:7" s="11" customFormat="1">
      <c r="G140" s="65"/>
    </row>
    <row r="141" spans="7:7" s="11" customFormat="1">
      <c r="G141" s="65"/>
    </row>
    <row r="142" spans="7:7" s="11" customFormat="1">
      <c r="G142" s="65"/>
    </row>
    <row r="143" spans="7:7" s="11" customFormat="1">
      <c r="G143" s="65"/>
    </row>
    <row r="144" spans="7:7" s="11" customFormat="1">
      <c r="G144" s="65"/>
    </row>
    <row r="145" spans="7:7" s="11" customFormat="1">
      <c r="G145" s="65"/>
    </row>
    <row r="146" spans="7:7" s="11" customFormat="1">
      <c r="G146" s="65"/>
    </row>
    <row r="147" spans="7:7" s="11" customFormat="1">
      <c r="G147" s="65"/>
    </row>
    <row r="148" spans="7:7" s="11" customFormat="1">
      <c r="G148" s="65"/>
    </row>
    <row r="149" spans="7:7" s="11" customFormat="1">
      <c r="G149" s="65"/>
    </row>
    <row r="150" spans="7:7" s="11" customFormat="1">
      <c r="G150" s="65"/>
    </row>
    <row r="151" spans="7:7" s="11" customFormat="1">
      <c r="G151" s="65"/>
    </row>
    <row r="152" spans="7:7" s="11" customFormat="1">
      <c r="G152" s="65"/>
    </row>
    <row r="153" spans="7:7" s="11" customFormat="1">
      <c r="G153" s="65"/>
    </row>
    <row r="154" spans="7:7" s="11" customFormat="1">
      <c r="G154" s="65"/>
    </row>
    <row r="155" spans="7:7" s="11" customFormat="1">
      <c r="G155" s="65"/>
    </row>
    <row r="156" spans="7:7" s="11" customFormat="1">
      <c r="G156" s="65"/>
    </row>
    <row r="157" spans="7:7" s="11" customFormat="1">
      <c r="G157" s="65"/>
    </row>
    <row r="158" spans="7:7" s="11" customFormat="1">
      <c r="G158" s="65"/>
    </row>
    <row r="159" spans="7:7" s="11" customFormat="1">
      <c r="G159" s="65"/>
    </row>
    <row r="160" spans="7:7" s="11" customFormat="1">
      <c r="G160" s="65"/>
    </row>
    <row r="161" spans="7:7" s="11" customFormat="1">
      <c r="G161" s="65"/>
    </row>
    <row r="162" spans="7:7" s="11" customFormat="1">
      <c r="G162" s="65"/>
    </row>
    <row r="163" spans="7:7" s="11" customFormat="1">
      <c r="G163" s="65"/>
    </row>
    <row r="164" spans="7:7" s="11" customFormat="1">
      <c r="G164" s="65"/>
    </row>
    <row r="165" spans="7:7" s="11" customFormat="1">
      <c r="G165" s="65"/>
    </row>
    <row r="166" spans="7:7" s="11" customFormat="1">
      <c r="G166" s="65"/>
    </row>
    <row r="167" spans="7:7" s="11" customFormat="1">
      <c r="G167" s="65"/>
    </row>
    <row r="168" spans="7:7" s="11" customFormat="1">
      <c r="G168" s="65"/>
    </row>
    <row r="169" spans="7:7" s="11" customFormat="1">
      <c r="G169" s="65"/>
    </row>
    <row r="170" spans="7:7" s="11" customFormat="1">
      <c r="G170" s="65"/>
    </row>
    <row r="171" spans="7:7" s="11" customFormat="1">
      <c r="G171" s="65"/>
    </row>
    <row r="172" spans="7:7" s="11" customFormat="1">
      <c r="G172" s="65"/>
    </row>
    <row r="173" spans="7:7" s="11" customFormat="1">
      <c r="G173" s="65"/>
    </row>
    <row r="174" spans="7:7" s="11" customFormat="1">
      <c r="G174" s="65"/>
    </row>
    <row r="175" spans="7:7" s="11" customFormat="1">
      <c r="G175" s="65"/>
    </row>
    <row r="176" spans="7:7" s="11" customFormat="1">
      <c r="G176" s="65"/>
    </row>
    <row r="177" spans="7:7" s="11" customFormat="1">
      <c r="G177" s="65"/>
    </row>
    <row r="178" spans="7:7" s="11" customFormat="1">
      <c r="G178" s="65"/>
    </row>
    <row r="179" spans="7:7" s="11" customFormat="1">
      <c r="G179" s="65"/>
    </row>
    <row r="180" spans="7:7" s="11" customFormat="1">
      <c r="G180" s="65"/>
    </row>
    <row r="181" spans="7:7" s="11" customFormat="1">
      <c r="G181" s="65"/>
    </row>
    <row r="182" spans="7:7" s="11" customFormat="1">
      <c r="G182" s="65"/>
    </row>
    <row r="183" spans="7:7" s="11" customFormat="1">
      <c r="G183" s="65"/>
    </row>
    <row r="184" spans="7:7" s="11" customFormat="1">
      <c r="G184" s="65"/>
    </row>
    <row r="185" spans="7:7" s="11" customFormat="1">
      <c r="G185" s="65"/>
    </row>
    <row r="186" spans="7:7" s="11" customFormat="1">
      <c r="G186" s="65"/>
    </row>
    <row r="187" spans="7:7" s="11" customFormat="1">
      <c r="G187" s="65"/>
    </row>
    <row r="188" spans="7:7" s="11" customFormat="1">
      <c r="G188" s="65"/>
    </row>
    <row r="189" spans="7:7" s="11" customFormat="1">
      <c r="G189" s="65"/>
    </row>
    <row r="190" spans="7:7" s="11" customFormat="1">
      <c r="G190" s="65"/>
    </row>
    <row r="191" spans="7:7" s="11" customFormat="1">
      <c r="G191" s="65"/>
    </row>
    <row r="192" spans="7:7" s="11" customFormat="1">
      <c r="G192" s="65"/>
    </row>
    <row r="193" spans="7:7" s="11" customFormat="1">
      <c r="G193" s="65"/>
    </row>
    <row r="194" spans="7:7" s="11" customFormat="1">
      <c r="G194" s="65"/>
    </row>
    <row r="195" spans="7:7" s="11" customFormat="1">
      <c r="G195" s="65"/>
    </row>
    <row r="196" spans="7:7" s="11" customFormat="1">
      <c r="G196" s="65"/>
    </row>
    <row r="197" spans="7:7" s="11" customFormat="1">
      <c r="G197" s="65"/>
    </row>
    <row r="198" spans="7:7" s="11" customFormat="1">
      <c r="G198" s="65"/>
    </row>
    <row r="199" spans="7:7" s="11" customFormat="1">
      <c r="G199" s="65"/>
    </row>
    <row r="200" spans="7:7" s="11" customFormat="1">
      <c r="G200" s="65"/>
    </row>
    <row r="201" spans="7:7" s="11" customFormat="1">
      <c r="G201" s="65"/>
    </row>
    <row r="202" spans="7:7" s="11" customFormat="1">
      <c r="G202" s="65"/>
    </row>
    <row r="203" spans="7:7" s="11" customFormat="1">
      <c r="G203" s="65"/>
    </row>
    <row r="204" spans="7:7" s="11" customFormat="1">
      <c r="G204" s="65"/>
    </row>
    <row r="205" spans="7:7" s="11" customFormat="1">
      <c r="G205" s="65"/>
    </row>
    <row r="206" spans="7:7" s="11" customFormat="1">
      <c r="G206" s="65"/>
    </row>
    <row r="207" spans="7:7" s="11" customFormat="1">
      <c r="G207" s="65"/>
    </row>
    <row r="208" spans="7:7" s="11" customFormat="1">
      <c r="G208" s="65"/>
    </row>
    <row r="209" spans="7:7" s="11" customFormat="1">
      <c r="G209" s="65"/>
    </row>
    <row r="210" spans="7:7" s="11" customFormat="1">
      <c r="G210" s="65"/>
    </row>
    <row r="211" spans="7:7" s="11" customFormat="1">
      <c r="G211" s="65"/>
    </row>
    <row r="212" spans="7:7" s="11" customFormat="1">
      <c r="G212" s="65"/>
    </row>
    <row r="213" spans="7:7" s="11" customFormat="1">
      <c r="G213" s="65"/>
    </row>
    <row r="214" spans="7:7" s="11" customFormat="1">
      <c r="G214" s="65"/>
    </row>
    <row r="215" spans="7:7" s="11" customFormat="1">
      <c r="G215" s="65"/>
    </row>
    <row r="216" spans="7:7" s="11" customFormat="1">
      <c r="G216" s="65"/>
    </row>
    <row r="217" spans="7:7" s="11" customFormat="1">
      <c r="G217" s="65"/>
    </row>
    <row r="218" spans="7:7" s="11" customFormat="1">
      <c r="G218" s="65"/>
    </row>
    <row r="219" spans="7:7" s="11" customFormat="1">
      <c r="G219" s="65"/>
    </row>
    <row r="220" spans="7:7" s="11" customFormat="1">
      <c r="G220" s="65"/>
    </row>
    <row r="221" spans="7:7" s="11" customFormat="1">
      <c r="G221" s="65"/>
    </row>
    <row r="222" spans="7:7" s="11" customFormat="1">
      <c r="G222" s="65"/>
    </row>
    <row r="223" spans="7:7" s="11" customFormat="1">
      <c r="G223" s="65"/>
    </row>
    <row r="224" spans="7:7" s="11" customFormat="1">
      <c r="G224" s="65"/>
    </row>
    <row r="225" spans="7:7" s="11" customFormat="1">
      <c r="G225" s="65"/>
    </row>
    <row r="226" spans="7:7" s="11" customFormat="1">
      <c r="G226" s="65"/>
    </row>
    <row r="227" spans="7:7" s="11" customFormat="1">
      <c r="G227" s="65"/>
    </row>
    <row r="228" spans="7:7" s="11" customFormat="1">
      <c r="G228" s="65"/>
    </row>
    <row r="229" spans="7:7" s="11" customFormat="1">
      <c r="G229" s="65"/>
    </row>
    <row r="230" spans="7:7" s="11" customFormat="1">
      <c r="G230" s="65"/>
    </row>
    <row r="231" spans="7:7" s="11" customFormat="1">
      <c r="G231" s="65"/>
    </row>
    <row r="232" spans="7:7" s="11" customFormat="1">
      <c r="G232" s="65"/>
    </row>
    <row r="233" spans="7:7" s="11" customFormat="1">
      <c r="G233" s="65"/>
    </row>
    <row r="234" spans="7:7" s="11" customFormat="1">
      <c r="G234" s="65"/>
    </row>
    <row r="235" spans="7:7" s="11" customFormat="1">
      <c r="G235" s="65"/>
    </row>
    <row r="236" spans="7:7" s="11" customFormat="1">
      <c r="G236" s="65"/>
    </row>
    <row r="237" spans="7:7" s="11" customFormat="1">
      <c r="G237" s="65"/>
    </row>
    <row r="238" spans="7:7" s="11" customFormat="1">
      <c r="G238" s="65"/>
    </row>
    <row r="239" spans="7:7" s="11" customFormat="1">
      <c r="G239" s="65"/>
    </row>
    <row r="240" spans="7:7" s="11" customFormat="1">
      <c r="G240" s="65"/>
    </row>
    <row r="241" spans="7:7" s="11" customFormat="1">
      <c r="G241" s="65"/>
    </row>
    <row r="242" spans="7:7" s="11" customFormat="1">
      <c r="G242" s="65"/>
    </row>
    <row r="243" spans="7:7" s="11" customFormat="1">
      <c r="G243" s="65"/>
    </row>
    <row r="244" spans="7:7" s="11" customFormat="1">
      <c r="G244" s="65"/>
    </row>
    <row r="245" spans="7:7" s="11" customFormat="1">
      <c r="G245" s="65"/>
    </row>
    <row r="246" spans="7:7" s="11" customFormat="1">
      <c r="G246" s="65"/>
    </row>
    <row r="247" spans="7:7" s="11" customFormat="1">
      <c r="G247" s="65"/>
    </row>
    <row r="248" spans="7:7" s="11" customFormat="1">
      <c r="G248" s="65"/>
    </row>
    <row r="249" spans="7:7" s="11" customFormat="1">
      <c r="G249" s="65"/>
    </row>
    <row r="250" spans="7:7" s="11" customFormat="1">
      <c r="G250" s="65"/>
    </row>
    <row r="251" spans="7:7" s="11" customFormat="1">
      <c r="G251" s="65"/>
    </row>
    <row r="252" spans="7:7" s="11" customFormat="1">
      <c r="G252" s="65"/>
    </row>
    <row r="253" spans="7:7" s="11" customFormat="1">
      <c r="G253" s="65"/>
    </row>
    <row r="254" spans="7:7" s="11" customFormat="1">
      <c r="G254" s="65"/>
    </row>
    <row r="255" spans="7:7" s="11" customFormat="1">
      <c r="G255" s="65"/>
    </row>
    <row r="256" spans="7:7" s="11" customFormat="1">
      <c r="G256" s="65"/>
    </row>
    <row r="257" spans="7:7" s="11" customFormat="1">
      <c r="G257" s="65"/>
    </row>
    <row r="258" spans="7:7" s="11" customFormat="1">
      <c r="G258" s="65"/>
    </row>
    <row r="259" spans="7:7" s="11" customFormat="1">
      <c r="G259" s="65"/>
    </row>
    <row r="260" spans="7:7" s="11" customFormat="1">
      <c r="G260" s="65"/>
    </row>
    <row r="261" spans="7:7" s="11" customFormat="1">
      <c r="G261" s="65"/>
    </row>
    <row r="262" spans="7:7" s="11" customFormat="1">
      <c r="G262" s="65"/>
    </row>
    <row r="263" spans="7:7" s="11" customFormat="1">
      <c r="G263" s="65"/>
    </row>
    <row r="264" spans="7:7" s="11" customFormat="1">
      <c r="G264" s="65"/>
    </row>
    <row r="265" spans="7:7" s="11" customFormat="1">
      <c r="G265" s="65"/>
    </row>
    <row r="266" spans="7:7" s="11" customFormat="1">
      <c r="G266" s="65"/>
    </row>
    <row r="267" spans="7:7" s="11" customFormat="1">
      <c r="G267" s="65"/>
    </row>
    <row r="268" spans="7:7" s="11" customFormat="1">
      <c r="G268" s="65"/>
    </row>
    <row r="269" spans="7:7" s="11" customFormat="1">
      <c r="G269" s="65"/>
    </row>
    <row r="270" spans="7:7" s="11" customFormat="1">
      <c r="G270" s="65"/>
    </row>
    <row r="271" spans="7:7" s="11" customFormat="1">
      <c r="G271" s="65"/>
    </row>
    <row r="272" spans="7:7" s="11" customFormat="1">
      <c r="G272" s="65"/>
    </row>
    <row r="273" spans="7:7" s="11" customFormat="1">
      <c r="G273" s="65"/>
    </row>
    <row r="274" spans="7:7" s="11" customFormat="1">
      <c r="G274" s="65"/>
    </row>
    <row r="275" spans="7:7" s="11" customFormat="1">
      <c r="G275" s="65"/>
    </row>
    <row r="276" spans="7:7" s="11" customFormat="1">
      <c r="G276" s="65"/>
    </row>
    <row r="277" spans="7:7" s="11" customFormat="1">
      <c r="G277" s="65"/>
    </row>
    <row r="278" spans="7:7" s="11" customFormat="1">
      <c r="G278" s="65"/>
    </row>
    <row r="279" spans="7:7" s="11" customFormat="1">
      <c r="G279" s="65"/>
    </row>
    <row r="280" spans="7:7" s="11" customFormat="1">
      <c r="G280" s="65"/>
    </row>
    <row r="281" spans="7:7" s="11" customFormat="1">
      <c r="G281" s="65"/>
    </row>
    <row r="282" spans="7:7" s="11" customFormat="1">
      <c r="G282" s="65"/>
    </row>
    <row r="283" spans="7:7" s="11" customFormat="1">
      <c r="G283" s="65"/>
    </row>
    <row r="284" spans="7:7" s="11" customFormat="1">
      <c r="G284" s="65"/>
    </row>
    <row r="285" spans="7:7" s="11" customFormat="1">
      <c r="G285" s="65"/>
    </row>
    <row r="286" spans="7:7" s="11" customFormat="1">
      <c r="G286" s="65"/>
    </row>
    <row r="287" spans="7:7" s="11" customFormat="1">
      <c r="G287" s="65"/>
    </row>
    <row r="288" spans="7:7" s="11" customFormat="1">
      <c r="G288" s="65"/>
    </row>
    <row r="289" spans="7:7" s="11" customFormat="1">
      <c r="G289" s="65"/>
    </row>
    <row r="290" spans="7:7" s="11" customFormat="1">
      <c r="G290" s="65"/>
    </row>
    <row r="291" spans="7:7" s="11" customFormat="1">
      <c r="G291" s="65"/>
    </row>
    <row r="292" spans="7:7" s="11" customFormat="1">
      <c r="G292" s="65"/>
    </row>
    <row r="293" spans="7:7" s="11" customFormat="1">
      <c r="G293" s="65"/>
    </row>
    <row r="294" spans="7:7" s="11" customFormat="1">
      <c r="G294" s="65"/>
    </row>
    <row r="295" spans="7:7" s="11" customFormat="1">
      <c r="G295" s="65"/>
    </row>
    <row r="296" spans="7:7" s="11" customFormat="1">
      <c r="G296" s="65"/>
    </row>
    <row r="297" spans="7:7" s="11" customFormat="1">
      <c r="G297" s="65"/>
    </row>
    <row r="298" spans="7:7" s="11" customFormat="1">
      <c r="G298" s="65"/>
    </row>
    <row r="299" spans="7:7" s="11" customFormat="1">
      <c r="G299" s="65"/>
    </row>
    <row r="300" spans="7:7" s="11" customFormat="1">
      <c r="G300" s="65"/>
    </row>
    <row r="301" spans="7:7" s="11" customFormat="1">
      <c r="G301" s="65"/>
    </row>
    <row r="302" spans="7:7" s="11" customFormat="1">
      <c r="G302" s="65"/>
    </row>
    <row r="303" spans="7:7" s="11" customFormat="1">
      <c r="G303" s="65"/>
    </row>
    <row r="304" spans="7:7" s="11" customFormat="1">
      <c r="G304" s="65"/>
    </row>
    <row r="305" spans="7:7" s="11" customFormat="1">
      <c r="G305" s="65"/>
    </row>
    <row r="306" spans="7:7" s="11" customFormat="1">
      <c r="G306" s="65"/>
    </row>
    <row r="307" spans="7:7" s="11" customFormat="1">
      <c r="G307" s="65"/>
    </row>
    <row r="308" spans="7:7" s="11" customFormat="1">
      <c r="G308" s="65"/>
    </row>
    <row r="309" spans="7:7" s="11" customFormat="1">
      <c r="G309" s="65"/>
    </row>
    <row r="310" spans="7:7" s="11" customFormat="1">
      <c r="G310" s="65"/>
    </row>
    <row r="311" spans="7:7" s="11" customFormat="1">
      <c r="G311" s="65"/>
    </row>
    <row r="312" spans="7:7" s="11" customFormat="1">
      <c r="G312" s="65"/>
    </row>
    <row r="313" spans="7:7" s="11" customFormat="1">
      <c r="G313" s="65"/>
    </row>
    <row r="314" spans="7:7" s="11" customFormat="1">
      <c r="G314" s="65"/>
    </row>
    <row r="315" spans="7:7" s="11" customFormat="1">
      <c r="G315" s="65"/>
    </row>
    <row r="316" spans="7:7" s="11" customFormat="1">
      <c r="G316" s="65"/>
    </row>
    <row r="317" spans="7:7" s="11" customFormat="1">
      <c r="G317" s="65"/>
    </row>
    <row r="318" spans="7:7" s="11" customFormat="1">
      <c r="G318" s="65"/>
    </row>
    <row r="319" spans="7:7" s="11" customFormat="1">
      <c r="G319" s="65"/>
    </row>
    <row r="320" spans="7:7" s="11" customFormat="1">
      <c r="G320" s="65"/>
    </row>
    <row r="321" spans="7:7" s="11" customFormat="1">
      <c r="G321" s="65"/>
    </row>
    <row r="322" spans="7:7" s="11" customFormat="1">
      <c r="G322" s="65"/>
    </row>
    <row r="323" spans="7:7" s="11" customFormat="1">
      <c r="G323" s="65"/>
    </row>
    <row r="324" spans="7:7" s="11" customFormat="1">
      <c r="G324" s="65"/>
    </row>
    <row r="325" spans="7:7" s="11" customFormat="1">
      <c r="G325" s="65"/>
    </row>
    <row r="326" spans="7:7" s="11" customFormat="1">
      <c r="G326" s="65"/>
    </row>
    <row r="327" spans="7:7" s="11" customFormat="1">
      <c r="G327" s="65"/>
    </row>
    <row r="328" spans="7:7" s="11" customFormat="1">
      <c r="G328" s="65"/>
    </row>
    <row r="329" spans="7:7" s="11" customFormat="1">
      <c r="G329" s="65"/>
    </row>
    <row r="330" spans="7:7" s="11" customFormat="1">
      <c r="G330" s="65"/>
    </row>
    <row r="331" spans="7:7" s="11" customFormat="1">
      <c r="G331" s="65"/>
    </row>
    <row r="332" spans="7:7" s="11" customFormat="1">
      <c r="G332" s="65"/>
    </row>
    <row r="333" spans="7:7" s="11" customFormat="1">
      <c r="G333" s="65"/>
    </row>
    <row r="334" spans="7:7" s="11" customFormat="1">
      <c r="G334" s="65"/>
    </row>
    <row r="335" spans="7:7" s="11" customFormat="1">
      <c r="G335" s="65"/>
    </row>
    <row r="336" spans="7:7" s="11" customFormat="1">
      <c r="G336" s="65"/>
    </row>
    <row r="337" spans="7:7" s="11" customFormat="1">
      <c r="G337" s="65"/>
    </row>
    <row r="338" spans="7:7" s="11" customFormat="1">
      <c r="G338" s="65"/>
    </row>
    <row r="339" spans="7:7" s="11" customFormat="1">
      <c r="G339" s="65"/>
    </row>
    <row r="340" spans="7:7" s="11" customFormat="1">
      <c r="G340" s="65"/>
    </row>
    <row r="341" spans="7:7" s="11" customFormat="1">
      <c r="G341" s="65"/>
    </row>
    <row r="342" spans="7:7" s="11" customFormat="1">
      <c r="G342" s="65"/>
    </row>
    <row r="343" spans="7:7" s="11" customFormat="1">
      <c r="G343" s="65"/>
    </row>
    <row r="344" spans="7:7" s="11" customFormat="1">
      <c r="G344" s="65"/>
    </row>
    <row r="345" spans="7:7" s="11" customFormat="1">
      <c r="G345" s="65"/>
    </row>
    <row r="346" spans="7:7" s="11" customFormat="1">
      <c r="G346" s="65"/>
    </row>
    <row r="347" spans="7:7" s="11" customFormat="1">
      <c r="G347" s="65"/>
    </row>
    <row r="348" spans="7:7" s="11" customFormat="1">
      <c r="G348" s="65"/>
    </row>
    <row r="349" spans="7:7" s="11" customFormat="1">
      <c r="G349" s="65"/>
    </row>
    <row r="350" spans="7:7" s="11" customFormat="1">
      <c r="G350" s="65"/>
    </row>
    <row r="351" spans="7:7" s="11" customFormat="1">
      <c r="G351" s="65"/>
    </row>
    <row r="352" spans="7:7" s="11" customFormat="1">
      <c r="G352" s="65"/>
    </row>
    <row r="353" spans="7:7" s="11" customFormat="1">
      <c r="G353" s="65"/>
    </row>
    <row r="354" spans="7:7" s="11" customFormat="1">
      <c r="G354" s="65"/>
    </row>
    <row r="355" spans="7:7" s="11" customFormat="1">
      <c r="G355" s="65"/>
    </row>
    <row r="356" spans="7:7" s="11" customFormat="1">
      <c r="G356" s="65"/>
    </row>
    <row r="357" spans="7:7" s="11" customFormat="1">
      <c r="G357" s="65"/>
    </row>
    <row r="358" spans="7:7" s="11" customFormat="1">
      <c r="G358" s="65"/>
    </row>
    <row r="359" spans="7:7" s="11" customFormat="1">
      <c r="G359" s="65"/>
    </row>
    <row r="360" spans="7:7" s="11" customFormat="1">
      <c r="G360" s="65"/>
    </row>
    <row r="361" spans="7:7" s="11" customFormat="1">
      <c r="G361" s="65"/>
    </row>
    <row r="362" spans="7:7" s="11" customFormat="1">
      <c r="G362" s="65"/>
    </row>
    <row r="363" spans="7:7" s="11" customFormat="1">
      <c r="G363" s="65"/>
    </row>
    <row r="364" spans="7:7" s="11" customFormat="1">
      <c r="G364" s="65"/>
    </row>
    <row r="365" spans="7:7" s="11" customFormat="1">
      <c r="G365" s="65"/>
    </row>
    <row r="366" spans="7:7" s="11" customFormat="1">
      <c r="G366" s="65"/>
    </row>
    <row r="367" spans="7:7" s="11" customFormat="1">
      <c r="G367" s="65"/>
    </row>
    <row r="368" spans="7:7" s="11" customFormat="1">
      <c r="G368" s="65"/>
    </row>
    <row r="369" spans="7:7" s="11" customFormat="1">
      <c r="G369" s="65"/>
    </row>
    <row r="370" spans="7:7" s="11" customFormat="1">
      <c r="G370" s="65"/>
    </row>
    <row r="371" spans="7:7" s="11" customFormat="1">
      <c r="G371" s="65"/>
    </row>
    <row r="372" spans="7:7" s="11" customFormat="1">
      <c r="G372" s="65"/>
    </row>
    <row r="373" spans="7:7" s="11" customFormat="1">
      <c r="G373" s="65"/>
    </row>
    <row r="374" spans="7:7" s="11" customFormat="1">
      <c r="G374" s="65"/>
    </row>
    <row r="375" spans="7:7" s="11" customFormat="1">
      <c r="G375" s="65"/>
    </row>
    <row r="376" spans="7:7" s="11" customFormat="1">
      <c r="G376" s="65"/>
    </row>
    <row r="377" spans="7:7" s="11" customFormat="1">
      <c r="G377" s="65"/>
    </row>
    <row r="378" spans="7:7" s="11" customFormat="1">
      <c r="G378" s="65"/>
    </row>
    <row r="379" spans="7:7" s="11" customFormat="1">
      <c r="G379" s="65"/>
    </row>
    <row r="380" spans="7:7" s="11" customFormat="1">
      <c r="G380" s="65"/>
    </row>
    <row r="381" spans="7:7" s="11" customFormat="1">
      <c r="G381" s="65"/>
    </row>
    <row r="382" spans="7:7" s="11" customFormat="1">
      <c r="G382" s="65"/>
    </row>
    <row r="383" spans="7:7" s="11" customFormat="1">
      <c r="G383" s="65"/>
    </row>
    <row r="384" spans="7:7" s="11" customFormat="1">
      <c r="G384" s="65"/>
    </row>
    <row r="385" spans="7:7" s="11" customFormat="1">
      <c r="G385" s="65"/>
    </row>
    <row r="386" spans="7:7" s="11" customFormat="1">
      <c r="G386" s="65"/>
    </row>
    <row r="387" spans="7:7" s="11" customFormat="1">
      <c r="G387" s="65"/>
    </row>
    <row r="388" spans="7:7" s="11" customFormat="1">
      <c r="G388" s="65"/>
    </row>
    <row r="389" spans="7:7" s="11" customFormat="1">
      <c r="G389" s="65"/>
    </row>
    <row r="390" spans="7:7" s="11" customFormat="1">
      <c r="G390" s="65"/>
    </row>
    <row r="391" spans="7:7" s="11" customFormat="1">
      <c r="G391" s="65"/>
    </row>
    <row r="392" spans="7:7" s="11" customFormat="1">
      <c r="G392" s="65"/>
    </row>
    <row r="393" spans="7:7" s="11" customFormat="1">
      <c r="G393" s="65"/>
    </row>
    <row r="394" spans="7:7" s="11" customFormat="1">
      <c r="G394" s="65"/>
    </row>
    <row r="395" spans="7:7" s="11" customFormat="1">
      <c r="G395" s="65"/>
    </row>
    <row r="396" spans="7:7" s="11" customFormat="1">
      <c r="G396" s="65"/>
    </row>
    <row r="397" spans="7:7" s="11" customFormat="1">
      <c r="G397" s="65"/>
    </row>
    <row r="398" spans="7:7" s="11" customFormat="1">
      <c r="G398" s="65"/>
    </row>
    <row r="399" spans="7:7" s="11" customFormat="1">
      <c r="G399" s="65"/>
    </row>
    <row r="400" spans="7:7" s="11" customFormat="1">
      <c r="G400" s="65"/>
    </row>
    <row r="401" spans="7:7" s="11" customFormat="1">
      <c r="G401" s="65"/>
    </row>
    <row r="402" spans="7:7" s="11" customFormat="1">
      <c r="G402" s="65"/>
    </row>
    <row r="403" spans="7:7" s="11" customFormat="1">
      <c r="G403" s="65"/>
    </row>
    <row r="404" spans="7:7" s="11" customFormat="1">
      <c r="G404" s="65"/>
    </row>
    <row r="405" spans="7:7" s="11" customFormat="1">
      <c r="G405" s="65"/>
    </row>
    <row r="406" spans="7:7" s="11" customFormat="1">
      <c r="G406" s="65"/>
    </row>
    <row r="407" spans="7:7" s="11" customFormat="1">
      <c r="G407" s="65"/>
    </row>
    <row r="408" spans="7:7" s="11" customFormat="1">
      <c r="G408" s="65"/>
    </row>
    <row r="409" spans="7:7" s="11" customFormat="1">
      <c r="G409" s="65"/>
    </row>
    <row r="410" spans="7:7" s="11" customFormat="1">
      <c r="G410" s="65"/>
    </row>
    <row r="411" spans="7:7" s="11" customFormat="1">
      <c r="G411" s="65"/>
    </row>
    <row r="412" spans="7:7" s="11" customFormat="1">
      <c r="G412" s="65"/>
    </row>
    <row r="413" spans="7:7" s="11" customFormat="1">
      <c r="G413" s="65"/>
    </row>
    <row r="414" spans="7:7" s="11" customFormat="1">
      <c r="G414" s="65"/>
    </row>
    <row r="415" spans="7:7" s="11" customFormat="1">
      <c r="G415" s="65"/>
    </row>
    <row r="416" spans="7:7" s="11" customFormat="1">
      <c r="G416" s="65"/>
    </row>
    <row r="417" spans="7:7" s="11" customFormat="1">
      <c r="G417" s="65"/>
    </row>
    <row r="418" spans="7:7" s="11" customFormat="1">
      <c r="G418" s="65"/>
    </row>
    <row r="419" spans="7:7" s="11" customFormat="1">
      <c r="G419" s="65"/>
    </row>
    <row r="420" spans="7:7" s="11" customFormat="1">
      <c r="G420" s="65"/>
    </row>
    <row r="421" spans="7:7" s="11" customFormat="1">
      <c r="G421" s="65"/>
    </row>
    <row r="422" spans="7:7" s="11" customFormat="1">
      <c r="G422" s="65"/>
    </row>
    <row r="423" spans="7:7" s="11" customFormat="1">
      <c r="G423" s="65"/>
    </row>
    <row r="424" spans="7:7" s="11" customFormat="1">
      <c r="G424" s="65"/>
    </row>
    <row r="425" spans="7:7" s="11" customFormat="1">
      <c r="G425" s="65"/>
    </row>
    <row r="426" spans="7:7" s="11" customFormat="1">
      <c r="G426" s="65"/>
    </row>
    <row r="427" spans="7:7" s="11" customFormat="1">
      <c r="G427" s="65"/>
    </row>
    <row r="428" spans="7:7" s="11" customFormat="1">
      <c r="G428" s="65"/>
    </row>
    <row r="429" spans="7:7" s="11" customFormat="1">
      <c r="G429" s="65"/>
    </row>
    <row r="430" spans="7:7" s="11" customFormat="1">
      <c r="G430" s="65"/>
    </row>
    <row r="431" spans="7:7" s="11" customFormat="1">
      <c r="G431" s="65"/>
    </row>
    <row r="432" spans="7:7" s="11" customFormat="1">
      <c r="G432" s="65"/>
    </row>
    <row r="433" spans="7:7" s="11" customFormat="1">
      <c r="G433" s="65"/>
    </row>
    <row r="434" spans="7:7" s="11" customFormat="1">
      <c r="G434" s="65"/>
    </row>
    <row r="435" spans="7:7" s="11" customFormat="1">
      <c r="G435" s="65"/>
    </row>
    <row r="436" spans="7:7" s="11" customFormat="1">
      <c r="G436" s="65"/>
    </row>
    <row r="437" spans="7:7" s="11" customFormat="1">
      <c r="G437" s="65"/>
    </row>
    <row r="438" spans="7:7" s="11" customFormat="1">
      <c r="G438" s="65"/>
    </row>
    <row r="439" spans="7:7" s="11" customFormat="1">
      <c r="G439" s="65"/>
    </row>
    <row r="440" spans="7:7" s="11" customFormat="1">
      <c r="G440" s="65"/>
    </row>
    <row r="441" spans="7:7" s="11" customFormat="1">
      <c r="G441" s="65"/>
    </row>
    <row r="442" spans="7:7" s="11" customFormat="1">
      <c r="G442" s="65"/>
    </row>
    <row r="443" spans="7:7" s="11" customFormat="1">
      <c r="G443" s="65"/>
    </row>
    <row r="444" spans="7:7" s="11" customFormat="1">
      <c r="G444" s="65"/>
    </row>
    <row r="445" spans="7:7" s="11" customFormat="1">
      <c r="G445" s="65"/>
    </row>
    <row r="446" spans="7:7" s="11" customFormat="1">
      <c r="G446" s="65"/>
    </row>
    <row r="447" spans="7:7" s="11" customFormat="1">
      <c r="G447" s="65"/>
    </row>
    <row r="448" spans="7:7" s="11" customFormat="1">
      <c r="G448" s="65"/>
    </row>
    <row r="449" spans="7:7" s="11" customFormat="1">
      <c r="G449" s="65"/>
    </row>
    <row r="450" spans="7:7" s="11" customFormat="1">
      <c r="G450" s="65"/>
    </row>
    <row r="451" spans="7:7" s="11" customFormat="1">
      <c r="G451" s="65"/>
    </row>
    <row r="452" spans="7:7" s="11" customFormat="1">
      <c r="G452" s="65"/>
    </row>
    <row r="453" spans="7:7" s="11" customFormat="1">
      <c r="G453" s="65"/>
    </row>
    <row r="454" spans="7:7" s="11" customFormat="1">
      <c r="G454" s="65"/>
    </row>
    <row r="455" spans="7:7" s="11" customFormat="1">
      <c r="G455" s="65"/>
    </row>
    <row r="456" spans="7:7" s="11" customFormat="1">
      <c r="G456" s="65"/>
    </row>
    <row r="457" spans="7:7" s="11" customFormat="1">
      <c r="G457" s="65"/>
    </row>
    <row r="458" spans="7:7" s="11" customFormat="1">
      <c r="G458" s="65"/>
    </row>
    <row r="459" spans="7:7" s="11" customFormat="1">
      <c r="G459" s="65"/>
    </row>
    <row r="460" spans="7:7" s="11" customFormat="1">
      <c r="G460" s="65"/>
    </row>
    <row r="461" spans="7:7" s="11" customFormat="1">
      <c r="G461" s="65"/>
    </row>
    <row r="462" spans="7:7" s="11" customFormat="1">
      <c r="G462" s="65"/>
    </row>
    <row r="463" spans="7:7" s="11" customFormat="1">
      <c r="G463" s="65"/>
    </row>
    <row r="464" spans="7:7" s="11" customFormat="1">
      <c r="G464" s="65"/>
    </row>
    <row r="465" spans="7:7" s="11" customFormat="1">
      <c r="G465" s="65"/>
    </row>
    <row r="466" spans="7:7" s="11" customFormat="1">
      <c r="G466" s="65"/>
    </row>
    <row r="467" spans="7:7" s="11" customFormat="1">
      <c r="G467" s="65"/>
    </row>
    <row r="468" spans="7:7" s="11" customFormat="1">
      <c r="G468" s="65"/>
    </row>
    <row r="469" spans="7:7" s="11" customFormat="1">
      <c r="G469" s="65"/>
    </row>
    <row r="470" spans="7:7" s="11" customFormat="1">
      <c r="G470" s="65"/>
    </row>
    <row r="471" spans="7:7" s="11" customFormat="1">
      <c r="G471" s="65"/>
    </row>
    <row r="472" spans="7:7" s="11" customFormat="1">
      <c r="G472" s="65"/>
    </row>
    <row r="473" spans="7:7" s="11" customFormat="1">
      <c r="G473" s="65"/>
    </row>
    <row r="474" spans="7:7" s="11" customFormat="1">
      <c r="G474" s="65"/>
    </row>
    <row r="475" spans="7:7" s="11" customFormat="1">
      <c r="G475" s="65"/>
    </row>
    <row r="476" spans="7:7" s="11" customFormat="1">
      <c r="G476" s="65"/>
    </row>
    <row r="477" spans="7:7" s="11" customFormat="1">
      <c r="G477" s="65"/>
    </row>
    <row r="478" spans="7:7" s="11" customFormat="1">
      <c r="G478" s="65"/>
    </row>
    <row r="479" spans="7:7" s="11" customFormat="1">
      <c r="G479" s="65"/>
    </row>
    <row r="480" spans="7:7" s="11" customFormat="1">
      <c r="G480" s="65"/>
    </row>
    <row r="481" spans="7:7" s="11" customFormat="1">
      <c r="G481" s="65"/>
    </row>
    <row r="482" spans="7:7" s="11" customFormat="1">
      <c r="G482" s="65"/>
    </row>
    <row r="483" spans="7:7" s="11" customFormat="1">
      <c r="G483" s="65"/>
    </row>
    <row r="484" spans="7:7" s="11" customFormat="1">
      <c r="G484" s="65"/>
    </row>
    <row r="485" spans="7:7" s="11" customFormat="1">
      <c r="G485" s="65"/>
    </row>
    <row r="486" spans="7:7" s="11" customFormat="1">
      <c r="G486" s="65"/>
    </row>
    <row r="487" spans="7:7" s="11" customFormat="1">
      <c r="G487" s="65"/>
    </row>
    <row r="488" spans="7:7" s="11" customFormat="1">
      <c r="G488" s="65"/>
    </row>
    <row r="489" spans="7:7" s="11" customFormat="1">
      <c r="G489" s="65"/>
    </row>
    <row r="490" spans="7:7" s="11" customFormat="1">
      <c r="G490" s="65"/>
    </row>
    <row r="491" spans="7:7" s="11" customFormat="1">
      <c r="G491" s="65"/>
    </row>
    <row r="492" spans="7:7" s="11" customFormat="1">
      <c r="G492" s="65"/>
    </row>
    <row r="493" spans="7:7" s="11" customFormat="1">
      <c r="G493" s="65"/>
    </row>
    <row r="494" spans="7:7" s="11" customFormat="1">
      <c r="G494" s="65"/>
    </row>
    <row r="495" spans="7:7" s="11" customFormat="1">
      <c r="G495" s="65"/>
    </row>
    <row r="496" spans="7:7" s="11" customFormat="1">
      <c r="G496" s="65"/>
    </row>
    <row r="497" spans="7:7" s="11" customFormat="1">
      <c r="G497" s="65"/>
    </row>
    <row r="498" spans="7:7" s="11" customFormat="1">
      <c r="G498" s="65"/>
    </row>
    <row r="499" spans="7:7" s="11" customFormat="1">
      <c r="G499" s="65"/>
    </row>
    <row r="500" spans="7:7" s="11" customFormat="1">
      <c r="G500" s="65"/>
    </row>
    <row r="501" spans="7:7" s="11" customFormat="1">
      <c r="G501" s="65"/>
    </row>
    <row r="502" spans="7:7" s="11" customFormat="1">
      <c r="G502" s="65"/>
    </row>
    <row r="503" spans="7:7" s="11" customFormat="1">
      <c r="G503" s="65"/>
    </row>
    <row r="504" spans="7:7" s="11" customFormat="1">
      <c r="G504" s="65"/>
    </row>
    <row r="505" spans="7:7" s="11" customFormat="1">
      <c r="G505" s="65"/>
    </row>
    <row r="506" spans="7:7" s="11" customFormat="1">
      <c r="G506" s="65"/>
    </row>
    <row r="507" spans="7:7" s="11" customFormat="1">
      <c r="G507" s="65"/>
    </row>
    <row r="508" spans="7:7" s="11" customFormat="1">
      <c r="G508" s="65"/>
    </row>
    <row r="509" spans="7:7" s="11" customFormat="1">
      <c r="G509" s="65"/>
    </row>
    <row r="510" spans="7:7" s="11" customFormat="1">
      <c r="G510" s="65"/>
    </row>
    <row r="511" spans="7:7" s="11" customFormat="1">
      <c r="G511" s="65"/>
    </row>
    <row r="512" spans="7:7" s="11" customFormat="1">
      <c r="G512" s="65"/>
    </row>
    <row r="513" spans="7:7" s="11" customFormat="1">
      <c r="G513" s="65"/>
    </row>
    <row r="514" spans="7:7" s="11" customFormat="1">
      <c r="G514" s="65"/>
    </row>
    <row r="515" spans="7:7" s="11" customFormat="1">
      <c r="G515" s="65"/>
    </row>
    <row r="516" spans="7:7" s="11" customFormat="1">
      <c r="G516" s="65"/>
    </row>
    <row r="517" spans="7:7" s="11" customFormat="1">
      <c r="G517" s="65"/>
    </row>
    <row r="518" spans="7:7" s="11" customFormat="1">
      <c r="G518" s="65"/>
    </row>
    <row r="519" spans="7:7" s="11" customFormat="1">
      <c r="G519" s="65"/>
    </row>
    <row r="520" spans="7:7" s="11" customFormat="1">
      <c r="G520" s="65"/>
    </row>
    <row r="521" spans="7:7" s="11" customFormat="1">
      <c r="G521" s="65"/>
    </row>
    <row r="522" spans="7:7" s="11" customFormat="1">
      <c r="G522" s="65"/>
    </row>
    <row r="523" spans="7:7" s="11" customFormat="1">
      <c r="G523" s="65"/>
    </row>
    <row r="524" spans="7:7" s="11" customFormat="1">
      <c r="G524" s="65"/>
    </row>
    <row r="525" spans="7:7" s="11" customFormat="1">
      <c r="G525" s="65"/>
    </row>
    <row r="526" spans="7:7" s="11" customFormat="1">
      <c r="G526" s="65"/>
    </row>
    <row r="527" spans="7:7" s="11" customFormat="1">
      <c r="G527" s="65"/>
    </row>
    <row r="528" spans="7:7" s="11" customFormat="1">
      <c r="G528" s="65"/>
    </row>
    <row r="529" spans="7:7" s="11" customFormat="1">
      <c r="G529" s="65"/>
    </row>
    <row r="530" spans="7:7" s="11" customFormat="1">
      <c r="G530" s="65"/>
    </row>
    <row r="531" spans="7:7" s="11" customFormat="1">
      <c r="G531" s="65"/>
    </row>
    <row r="532" spans="7:7" s="11" customFormat="1">
      <c r="G532" s="65"/>
    </row>
    <row r="533" spans="7:7" s="11" customFormat="1">
      <c r="G533" s="65"/>
    </row>
    <row r="534" spans="7:7" s="11" customFormat="1">
      <c r="G534" s="65"/>
    </row>
    <row r="535" spans="7:7" s="11" customFormat="1">
      <c r="G535" s="65"/>
    </row>
    <row r="536" spans="7:7" s="11" customFormat="1">
      <c r="G536" s="65"/>
    </row>
    <row r="537" spans="7:7" s="11" customFormat="1">
      <c r="G537" s="65"/>
    </row>
    <row r="538" spans="7:7" s="11" customFormat="1">
      <c r="G538" s="65"/>
    </row>
    <row r="539" spans="7:7" s="11" customFormat="1">
      <c r="G539" s="65"/>
    </row>
    <row r="540" spans="7:7" s="11" customFormat="1">
      <c r="G540" s="65"/>
    </row>
    <row r="541" spans="7:7" s="11" customFormat="1">
      <c r="G541" s="65"/>
    </row>
    <row r="542" spans="7:7" s="11" customFormat="1">
      <c r="G542" s="65"/>
    </row>
    <row r="543" spans="7:7" s="11" customFormat="1">
      <c r="G543" s="65"/>
    </row>
    <row r="544" spans="7:7" s="11" customFormat="1">
      <c r="G544" s="65"/>
    </row>
    <row r="545" spans="7:7" s="11" customFormat="1">
      <c r="G545" s="65"/>
    </row>
    <row r="546" spans="7:7" s="11" customFormat="1">
      <c r="G546" s="65"/>
    </row>
    <row r="547" spans="7:7" s="11" customFormat="1">
      <c r="G547" s="65"/>
    </row>
    <row r="548" spans="7:7" s="11" customFormat="1">
      <c r="G548" s="65"/>
    </row>
    <row r="549" spans="7:7" s="11" customFormat="1">
      <c r="G549" s="65"/>
    </row>
    <row r="550" spans="7:7" s="11" customFormat="1">
      <c r="G550" s="65"/>
    </row>
    <row r="551" spans="7:7" s="11" customFormat="1">
      <c r="G551" s="65"/>
    </row>
    <row r="552" spans="7:7" s="11" customFormat="1">
      <c r="G552" s="65"/>
    </row>
    <row r="553" spans="7:7" s="11" customFormat="1">
      <c r="G553" s="65"/>
    </row>
    <row r="554" spans="7:7" s="11" customFormat="1">
      <c r="G554" s="65"/>
    </row>
    <row r="555" spans="7:7" s="11" customFormat="1">
      <c r="G555" s="65"/>
    </row>
    <row r="556" spans="7:7" s="11" customFormat="1">
      <c r="G556" s="65"/>
    </row>
    <row r="557" spans="7:7" s="11" customFormat="1">
      <c r="G557" s="65"/>
    </row>
    <row r="558" spans="7:7" s="11" customFormat="1">
      <c r="G558" s="65"/>
    </row>
    <row r="559" spans="7:7" s="11" customFormat="1">
      <c r="G559" s="65"/>
    </row>
    <row r="560" spans="7:7" s="11" customFormat="1">
      <c r="G560" s="65"/>
    </row>
    <row r="561" spans="7:7" s="11" customFormat="1">
      <c r="G561" s="65"/>
    </row>
    <row r="562" spans="7:7" s="11" customFormat="1">
      <c r="G562" s="65"/>
    </row>
    <row r="563" spans="7:7" s="11" customFormat="1">
      <c r="G563" s="65"/>
    </row>
    <row r="564" spans="7:7" s="11" customFormat="1">
      <c r="G564" s="65"/>
    </row>
    <row r="565" spans="7:7" s="11" customFormat="1">
      <c r="G565" s="65"/>
    </row>
    <row r="566" spans="7:7" s="11" customFormat="1">
      <c r="G566" s="65"/>
    </row>
    <row r="567" spans="7:7" s="11" customFormat="1">
      <c r="G567" s="65"/>
    </row>
    <row r="568" spans="7:7" s="11" customFormat="1">
      <c r="G568" s="65"/>
    </row>
    <row r="569" spans="7:7" s="11" customFormat="1">
      <c r="G569" s="65"/>
    </row>
    <row r="570" spans="7:7" s="11" customFormat="1">
      <c r="G570" s="65"/>
    </row>
    <row r="571" spans="7:7" s="11" customFormat="1">
      <c r="G571" s="65"/>
    </row>
    <row r="572" spans="7:7" s="11" customFormat="1">
      <c r="G572" s="65"/>
    </row>
    <row r="573" spans="7:7" s="11" customFormat="1">
      <c r="G573" s="65"/>
    </row>
    <row r="574" spans="7:7" s="11" customFormat="1">
      <c r="G574" s="65"/>
    </row>
    <row r="575" spans="7:7" s="11" customFormat="1">
      <c r="G575" s="65"/>
    </row>
    <row r="576" spans="7:7" s="11" customFormat="1">
      <c r="G576" s="65"/>
    </row>
    <row r="577" spans="1:13" s="11" customFormat="1">
      <c r="G577" s="65"/>
    </row>
    <row r="578" spans="1:13" s="11" customFormat="1">
      <c r="G578" s="65"/>
    </row>
    <row r="579" spans="1:13" s="11" customFormat="1">
      <c r="G579" s="65"/>
    </row>
    <row r="580" spans="1:13" s="11" customFormat="1">
      <c r="G580" s="65"/>
    </row>
    <row r="581" spans="1:13" s="11" customFormat="1">
      <c r="G581" s="65"/>
    </row>
    <row r="582" spans="1:13" s="11" customFormat="1">
      <c r="G582" s="65"/>
    </row>
    <row r="583" spans="1:13" s="11" customFormat="1">
      <c r="G583" s="65"/>
    </row>
    <row r="584" spans="1:13" s="11" customFormat="1">
      <c r="G584" s="65"/>
    </row>
    <row r="585" spans="1:13" s="11" customFormat="1">
      <c r="G585" s="65"/>
    </row>
    <row r="586" spans="1:13" s="11" customFormat="1">
      <c r="G586" s="65"/>
    </row>
    <row r="587" spans="1:13" s="11" customFormat="1">
      <c r="G587" s="65"/>
    </row>
    <row r="588" spans="1:13" s="11" customFormat="1">
      <c r="G588" s="65"/>
    </row>
    <row r="589" spans="1:13" s="11" customFormat="1">
      <c r="A589" s="317"/>
      <c r="B589" s="317"/>
      <c r="C589" s="317"/>
      <c r="D589" s="317"/>
      <c r="E589" s="317"/>
      <c r="F589" s="317"/>
      <c r="G589" s="317"/>
      <c r="H589" s="317"/>
      <c r="I589" s="317"/>
      <c r="J589" s="317"/>
      <c r="K589" s="317"/>
      <c r="L589" s="317"/>
      <c r="M589" s="317"/>
    </row>
    <row r="590" spans="1:13" s="11" customFormat="1">
      <c r="A590" s="317"/>
      <c r="B590" s="317"/>
      <c r="C590" s="317"/>
      <c r="D590" s="317"/>
      <c r="E590" s="317"/>
      <c r="F590" s="317"/>
      <c r="G590" s="317"/>
      <c r="H590" s="317"/>
      <c r="I590" s="317"/>
      <c r="J590" s="317"/>
      <c r="K590" s="317"/>
      <c r="L590" s="317"/>
      <c r="M590" s="317"/>
    </row>
    <row r="591" spans="1:13" s="11" customFormat="1">
      <c r="A591" s="317"/>
      <c r="B591" s="317"/>
      <c r="C591" s="317"/>
      <c r="D591" s="317"/>
      <c r="E591" s="317"/>
      <c r="F591" s="317"/>
      <c r="G591" s="317"/>
      <c r="H591" s="317"/>
      <c r="I591" s="317"/>
      <c r="J591" s="317"/>
      <c r="K591" s="317"/>
      <c r="L591" s="317"/>
      <c r="M591" s="317"/>
    </row>
    <row r="592" spans="1:13" s="11" customFormat="1">
      <c r="A592" s="317"/>
      <c r="B592" s="317"/>
      <c r="C592" s="317"/>
      <c r="D592" s="317"/>
      <c r="E592" s="317"/>
      <c r="F592" s="317"/>
      <c r="G592" s="317"/>
      <c r="H592" s="317"/>
      <c r="I592" s="317"/>
      <c r="J592" s="317"/>
      <c r="K592" s="317"/>
      <c r="L592" s="317"/>
      <c r="M592" s="317"/>
    </row>
    <row r="593" spans="1:13" s="11" customFormat="1">
      <c r="A593" s="317"/>
      <c r="B593" s="317"/>
      <c r="C593" s="317"/>
      <c r="D593" s="317"/>
      <c r="E593" s="317"/>
      <c r="F593" s="317"/>
      <c r="G593" s="317"/>
      <c r="H593" s="317"/>
      <c r="I593" s="317"/>
      <c r="J593" s="317"/>
      <c r="K593" s="317"/>
      <c r="L593" s="317"/>
      <c r="M593" s="317"/>
    </row>
    <row r="594" spans="1:13" s="11" customFormat="1">
      <c r="A594" s="317"/>
      <c r="B594" s="317"/>
      <c r="C594" s="317"/>
      <c r="D594" s="317"/>
      <c r="E594" s="317"/>
      <c r="F594" s="317"/>
      <c r="G594" s="317"/>
      <c r="H594" s="317"/>
      <c r="I594" s="317"/>
      <c r="J594" s="317"/>
      <c r="K594" s="317"/>
      <c r="L594" s="317"/>
      <c r="M594" s="317"/>
    </row>
    <row r="595" spans="1:13" s="11" customFormat="1">
      <c r="A595" s="317"/>
      <c r="B595" s="317"/>
      <c r="C595" s="317"/>
      <c r="D595" s="317"/>
      <c r="E595" s="317"/>
      <c r="F595" s="317"/>
      <c r="G595" s="317"/>
      <c r="H595" s="317"/>
      <c r="I595" s="317"/>
      <c r="J595" s="317"/>
      <c r="K595" s="317"/>
      <c r="L595" s="317"/>
      <c r="M595" s="317"/>
    </row>
    <row r="596" spans="1:13" s="11" customFormat="1">
      <c r="A596" s="317"/>
      <c r="B596" s="317"/>
      <c r="C596" s="317"/>
      <c r="D596" s="317"/>
      <c r="E596" s="317"/>
      <c r="F596" s="317"/>
      <c r="G596" s="317"/>
      <c r="H596" s="317"/>
      <c r="I596" s="317"/>
      <c r="J596" s="317"/>
      <c r="K596" s="317"/>
      <c r="L596" s="317"/>
      <c r="M596" s="317"/>
    </row>
    <row r="597" spans="1:13" s="11" customFormat="1">
      <c r="A597" s="317"/>
      <c r="B597" s="317"/>
      <c r="C597" s="317"/>
      <c r="D597" s="317"/>
      <c r="E597" s="317"/>
      <c r="F597" s="317"/>
      <c r="G597" s="317"/>
      <c r="H597" s="317"/>
      <c r="I597" s="317"/>
      <c r="J597" s="317"/>
      <c r="K597" s="317"/>
      <c r="L597" s="317"/>
      <c r="M597" s="317"/>
    </row>
    <row r="598" spans="1:13" s="11" customFormat="1">
      <c r="A598" s="317"/>
      <c r="B598" s="317"/>
      <c r="C598" s="317"/>
      <c r="D598" s="317"/>
      <c r="E598" s="317"/>
      <c r="F598" s="317"/>
      <c r="G598" s="317"/>
      <c r="H598" s="317"/>
      <c r="I598" s="317"/>
      <c r="J598" s="317"/>
      <c r="K598" s="317"/>
      <c r="L598" s="317"/>
      <c r="M598" s="317"/>
    </row>
    <row r="599" spans="1:13" s="11" customFormat="1">
      <c r="A599" s="317"/>
      <c r="B599" s="317"/>
      <c r="C599" s="317"/>
      <c r="D599" s="317"/>
      <c r="E599" s="317"/>
      <c r="F599" s="317"/>
      <c r="G599" s="317"/>
      <c r="H599" s="317"/>
      <c r="I599" s="317"/>
      <c r="J599" s="317"/>
      <c r="K599" s="317"/>
      <c r="L599" s="317"/>
      <c r="M599" s="317"/>
    </row>
    <row r="600" spans="1:13" s="11" customFormat="1">
      <c r="A600" s="317"/>
      <c r="B600" s="317"/>
      <c r="C600" s="317"/>
      <c r="D600" s="317"/>
      <c r="E600" s="317"/>
      <c r="F600" s="317"/>
      <c r="G600" s="317"/>
      <c r="H600" s="317"/>
      <c r="I600" s="317"/>
      <c r="J600" s="317"/>
      <c r="K600" s="317"/>
      <c r="L600" s="317"/>
      <c r="M600" s="317"/>
    </row>
    <row r="601" spans="1:13" s="11" customFormat="1">
      <c r="A601" s="317"/>
      <c r="B601" s="317"/>
      <c r="C601" s="317"/>
      <c r="D601" s="317"/>
      <c r="E601" s="317"/>
      <c r="F601" s="317"/>
      <c r="G601" s="317"/>
      <c r="H601" s="317"/>
      <c r="I601" s="317"/>
      <c r="J601" s="317"/>
      <c r="K601" s="317"/>
      <c r="L601" s="317"/>
      <c r="M601" s="317"/>
    </row>
    <row r="602" spans="1:13" s="11" customFormat="1">
      <c r="A602" s="317"/>
      <c r="B602" s="317"/>
      <c r="C602" s="317"/>
      <c r="D602" s="317"/>
      <c r="E602" s="317"/>
      <c r="F602" s="317"/>
      <c r="G602" s="317"/>
      <c r="H602" s="317"/>
      <c r="I602" s="317"/>
      <c r="J602" s="317"/>
      <c r="K602" s="317"/>
      <c r="L602" s="317"/>
      <c r="M602" s="317"/>
    </row>
    <row r="603" spans="1:13" s="11" customFormat="1">
      <c r="A603" s="317"/>
      <c r="B603" s="317"/>
      <c r="C603" s="317"/>
      <c r="D603" s="317"/>
      <c r="E603" s="317"/>
      <c r="F603" s="317"/>
      <c r="G603" s="317"/>
      <c r="H603" s="317"/>
      <c r="I603" s="317"/>
      <c r="J603" s="317"/>
      <c r="K603" s="317"/>
      <c r="L603" s="317"/>
      <c r="M603" s="317"/>
    </row>
    <row r="604" spans="1:13" s="11" customFormat="1">
      <c r="A604" s="317"/>
      <c r="B604" s="317"/>
      <c r="C604" s="317"/>
      <c r="D604" s="317"/>
      <c r="E604" s="317"/>
      <c r="F604" s="317"/>
      <c r="G604" s="317"/>
      <c r="H604" s="317"/>
      <c r="I604" s="317"/>
      <c r="J604" s="317"/>
      <c r="K604" s="317"/>
      <c r="L604" s="317"/>
      <c r="M604" s="317"/>
    </row>
    <row r="605" spans="1:13" s="11" customFormat="1">
      <c r="A605" s="317"/>
      <c r="B605" s="317"/>
      <c r="C605" s="317"/>
      <c r="D605" s="317"/>
      <c r="E605" s="317"/>
      <c r="F605" s="317"/>
      <c r="G605" s="317"/>
      <c r="H605" s="317"/>
      <c r="I605" s="317"/>
      <c r="J605" s="317"/>
      <c r="K605" s="317"/>
      <c r="L605" s="317"/>
      <c r="M605" s="317"/>
    </row>
    <row r="606" spans="1:13" s="11" customFormat="1">
      <c r="A606" s="317"/>
      <c r="B606" s="317"/>
      <c r="C606" s="317"/>
      <c r="D606" s="317"/>
      <c r="E606" s="317"/>
      <c r="F606" s="317"/>
      <c r="G606" s="317"/>
      <c r="H606" s="317"/>
      <c r="I606" s="317"/>
      <c r="J606" s="317"/>
      <c r="K606" s="317"/>
      <c r="L606" s="317"/>
      <c r="M606" s="317"/>
    </row>
    <row r="607" spans="1:13" s="11" customFormat="1">
      <c r="A607" s="317"/>
      <c r="B607" s="317"/>
      <c r="C607" s="317"/>
      <c r="D607" s="317"/>
      <c r="E607" s="317"/>
      <c r="F607" s="317"/>
      <c r="G607" s="317"/>
      <c r="H607" s="317"/>
      <c r="I607" s="317"/>
      <c r="J607" s="317"/>
      <c r="K607" s="317"/>
      <c r="L607" s="317"/>
      <c r="M607" s="317"/>
    </row>
    <row r="608" spans="1:13" s="11" customFormat="1">
      <c r="A608" s="317"/>
      <c r="B608" s="317"/>
      <c r="C608" s="317"/>
      <c r="D608" s="317"/>
      <c r="E608" s="317"/>
      <c r="F608" s="317"/>
      <c r="G608" s="317"/>
      <c r="H608" s="317"/>
      <c r="I608" s="317"/>
      <c r="J608" s="317"/>
      <c r="K608" s="317"/>
      <c r="L608" s="317"/>
      <c r="M608" s="317"/>
    </row>
    <row r="609" spans="1:13" s="11" customFormat="1">
      <c r="A609" s="317"/>
      <c r="B609" s="317"/>
      <c r="C609" s="317"/>
      <c r="D609" s="317"/>
      <c r="E609" s="317"/>
      <c r="F609" s="317"/>
      <c r="G609" s="317"/>
      <c r="H609" s="317"/>
      <c r="I609" s="317"/>
      <c r="J609" s="317"/>
      <c r="K609" s="317"/>
      <c r="L609" s="317"/>
      <c r="M609" s="317"/>
    </row>
    <row r="610" spans="1:13" s="11" customFormat="1">
      <c r="A610" s="317"/>
      <c r="B610" s="317"/>
      <c r="C610" s="317"/>
      <c r="D610" s="317"/>
      <c r="E610" s="317"/>
      <c r="F610" s="317"/>
      <c r="G610" s="317"/>
      <c r="H610" s="317"/>
      <c r="I610" s="317"/>
      <c r="J610" s="317"/>
      <c r="K610" s="317"/>
      <c r="L610" s="317"/>
      <c r="M610" s="317"/>
    </row>
    <row r="611" spans="1:13" s="11" customFormat="1">
      <c r="A611" s="317"/>
      <c r="B611" s="317"/>
      <c r="C611" s="317"/>
      <c r="D611" s="317"/>
      <c r="E611" s="317"/>
      <c r="F611" s="317"/>
      <c r="G611" s="317"/>
      <c r="H611" s="317"/>
      <c r="I611" s="317"/>
      <c r="J611" s="317"/>
      <c r="K611" s="317"/>
      <c r="L611" s="317"/>
      <c r="M611" s="317"/>
    </row>
    <row r="612" spans="1:13" s="11" customFormat="1">
      <c r="A612" s="317"/>
      <c r="B612" s="317"/>
      <c r="C612" s="317"/>
      <c r="D612" s="317"/>
      <c r="E612" s="317"/>
      <c r="F612" s="317"/>
      <c r="G612" s="317"/>
      <c r="H612" s="317"/>
      <c r="I612" s="317"/>
      <c r="J612" s="317"/>
      <c r="K612" s="317"/>
      <c r="L612" s="317"/>
      <c r="M612" s="317"/>
    </row>
    <row r="613" spans="1:13" s="11" customFormat="1">
      <c r="A613" s="317"/>
      <c r="B613" s="317"/>
      <c r="C613" s="317"/>
      <c r="D613" s="317"/>
      <c r="E613" s="317"/>
      <c r="F613" s="317"/>
      <c r="G613" s="317"/>
      <c r="H613" s="317"/>
      <c r="I613" s="317"/>
      <c r="J613" s="317"/>
      <c r="K613" s="317"/>
      <c r="L613" s="317"/>
      <c r="M613" s="317"/>
    </row>
    <row r="614" spans="1:13" s="11" customFormat="1">
      <c r="A614" s="317"/>
      <c r="B614" s="317"/>
      <c r="C614" s="317"/>
      <c r="D614" s="317"/>
      <c r="E614" s="317"/>
      <c r="F614" s="317"/>
      <c r="G614" s="317"/>
      <c r="H614" s="317"/>
      <c r="I614" s="317"/>
      <c r="J614" s="317"/>
      <c r="K614" s="317"/>
      <c r="L614" s="317"/>
      <c r="M614" s="317"/>
    </row>
    <row r="615" spans="1:13" s="11" customFormat="1">
      <c r="A615" s="317"/>
      <c r="B615" s="317"/>
      <c r="C615" s="317"/>
      <c r="D615" s="317"/>
      <c r="E615" s="317"/>
      <c r="F615" s="317"/>
      <c r="G615" s="317"/>
      <c r="H615" s="317"/>
      <c r="I615" s="317"/>
      <c r="J615" s="317"/>
      <c r="K615" s="317"/>
      <c r="L615" s="317"/>
      <c r="M615" s="317"/>
    </row>
    <row r="616" spans="1:13" s="11" customFormat="1">
      <c r="A616" s="317"/>
      <c r="B616" s="317"/>
      <c r="C616" s="317"/>
      <c r="D616" s="317"/>
      <c r="E616" s="317"/>
      <c r="F616" s="317"/>
      <c r="G616" s="317"/>
      <c r="H616" s="317"/>
      <c r="I616" s="317"/>
      <c r="J616" s="317"/>
      <c r="K616" s="317"/>
      <c r="L616" s="317"/>
      <c r="M616" s="317"/>
    </row>
    <row r="617" spans="1:13" s="11" customFormat="1">
      <c r="A617" s="317"/>
      <c r="B617" s="317"/>
      <c r="C617" s="317"/>
      <c r="D617" s="317"/>
      <c r="E617" s="317"/>
      <c r="F617" s="317"/>
      <c r="G617" s="317"/>
      <c r="H617" s="317"/>
      <c r="I617" s="317"/>
      <c r="J617" s="317"/>
      <c r="K617" s="317"/>
      <c r="L617" s="317"/>
      <c r="M617" s="317"/>
    </row>
    <row r="618" spans="1:13" s="11" customFormat="1">
      <c r="A618" s="317"/>
      <c r="B618" s="317"/>
      <c r="C618" s="317"/>
      <c r="D618" s="317"/>
      <c r="E618" s="317"/>
      <c r="F618" s="317"/>
      <c r="G618" s="317"/>
      <c r="H618" s="317"/>
      <c r="I618" s="317"/>
      <c r="J618" s="317"/>
      <c r="K618" s="317"/>
      <c r="L618" s="317"/>
      <c r="M618" s="317"/>
    </row>
    <row r="619" spans="1:13" s="11" customFormat="1">
      <c r="A619" s="317"/>
      <c r="B619" s="317"/>
      <c r="C619" s="317"/>
      <c r="D619" s="317"/>
      <c r="E619" s="317"/>
      <c r="F619" s="317"/>
      <c r="G619" s="317"/>
      <c r="H619" s="317"/>
      <c r="I619" s="317"/>
      <c r="J619" s="317"/>
      <c r="K619" s="317"/>
      <c r="L619" s="317"/>
      <c r="M619" s="317"/>
    </row>
    <row r="620" spans="1:13" s="11" customFormat="1">
      <c r="A620" s="317"/>
      <c r="B620" s="317"/>
      <c r="C620" s="317"/>
      <c r="D620" s="317"/>
      <c r="E620" s="317"/>
      <c r="F620" s="317"/>
      <c r="G620" s="317"/>
      <c r="H620" s="317"/>
      <c r="I620" s="317"/>
      <c r="J620" s="317"/>
      <c r="K620" s="317"/>
      <c r="L620" s="317"/>
      <c r="M620" s="317"/>
    </row>
    <row r="621" spans="1:13" s="11" customFormat="1">
      <c r="A621" s="317"/>
      <c r="B621" s="317"/>
      <c r="C621" s="317"/>
      <c r="D621" s="317"/>
      <c r="E621" s="317"/>
      <c r="F621" s="317"/>
      <c r="G621" s="317"/>
      <c r="H621" s="317"/>
      <c r="I621" s="317"/>
      <c r="J621" s="317"/>
      <c r="K621" s="317"/>
      <c r="L621" s="317"/>
      <c r="M621" s="317"/>
    </row>
    <row r="622" spans="1:13" s="11" customFormat="1">
      <c r="A622" s="317"/>
      <c r="B622" s="317"/>
      <c r="C622" s="317"/>
      <c r="D622" s="317"/>
      <c r="E622" s="317"/>
      <c r="F622" s="317"/>
      <c r="G622" s="317"/>
      <c r="H622" s="317"/>
      <c r="I622" s="317"/>
      <c r="J622" s="317"/>
      <c r="K622" s="317"/>
      <c r="L622" s="317"/>
      <c r="M622" s="317"/>
    </row>
    <row r="623" spans="1:13" s="11" customFormat="1">
      <c r="A623" s="317"/>
      <c r="B623" s="317"/>
      <c r="C623" s="317"/>
      <c r="D623" s="317"/>
      <c r="E623" s="317"/>
      <c r="F623" s="317"/>
      <c r="G623" s="317"/>
      <c r="H623" s="317"/>
      <c r="I623" s="317"/>
      <c r="J623" s="317"/>
      <c r="K623" s="317"/>
      <c r="L623" s="317"/>
      <c r="M623" s="317"/>
    </row>
    <row r="624" spans="1:13" s="11" customFormat="1">
      <c r="A624" s="317"/>
      <c r="B624" s="317"/>
      <c r="C624" s="317"/>
      <c r="D624" s="317"/>
      <c r="E624" s="317"/>
      <c r="F624" s="317"/>
      <c r="G624" s="317"/>
      <c r="H624" s="317"/>
      <c r="I624" s="317"/>
      <c r="J624" s="317"/>
      <c r="K624" s="317"/>
      <c r="L624" s="317"/>
      <c r="M624" s="317"/>
    </row>
    <row r="625" spans="1:13">
      <c r="A625" s="317"/>
      <c r="B625" s="317"/>
      <c r="C625" s="317"/>
      <c r="D625" s="317"/>
      <c r="E625" s="317"/>
      <c r="F625" s="317"/>
      <c r="G625" s="317"/>
      <c r="H625" s="317"/>
      <c r="I625" s="317"/>
      <c r="J625" s="317"/>
      <c r="K625" s="317"/>
      <c r="L625" s="317"/>
      <c r="M625" s="317"/>
    </row>
    <row r="626" spans="1:13">
      <c r="A626" s="317"/>
      <c r="B626" s="317"/>
      <c r="C626" s="317"/>
      <c r="D626" s="317"/>
      <c r="E626" s="317"/>
      <c r="F626" s="317"/>
      <c r="G626" s="317"/>
      <c r="H626" s="317"/>
      <c r="I626" s="317"/>
      <c r="J626" s="317"/>
      <c r="K626" s="317"/>
      <c r="L626" s="317"/>
      <c r="M626" s="317"/>
    </row>
    <row r="627" spans="1:13">
      <c r="A627" s="317"/>
      <c r="B627" s="317"/>
      <c r="C627" s="317"/>
      <c r="D627" s="317"/>
      <c r="E627" s="317"/>
      <c r="F627" s="317"/>
      <c r="G627" s="317"/>
      <c r="H627" s="317"/>
      <c r="I627" s="317"/>
      <c r="J627" s="317"/>
      <c r="K627" s="317"/>
      <c r="L627" s="317"/>
      <c r="M627" s="317"/>
    </row>
    <row r="628" spans="1:13">
      <c r="A628" s="317"/>
      <c r="B628" s="317"/>
      <c r="C628" s="317"/>
      <c r="D628" s="317"/>
      <c r="E628" s="317"/>
      <c r="F628" s="317"/>
      <c r="G628" s="317"/>
      <c r="H628" s="317"/>
      <c r="I628" s="317"/>
      <c r="J628" s="317"/>
      <c r="K628" s="317"/>
      <c r="L628" s="317"/>
      <c r="M628" s="317"/>
    </row>
    <row r="629" spans="1:13">
      <c r="A629" s="317"/>
      <c r="B629" s="317"/>
      <c r="C629" s="317"/>
      <c r="D629" s="317"/>
      <c r="E629" s="317"/>
      <c r="F629" s="317"/>
      <c r="G629" s="317"/>
      <c r="H629" s="317"/>
      <c r="I629" s="317"/>
      <c r="J629" s="317"/>
      <c r="K629" s="317"/>
      <c r="L629" s="317"/>
      <c r="M629" s="317"/>
    </row>
    <row r="630" spans="1:13">
      <c r="A630" s="317"/>
      <c r="B630" s="317"/>
      <c r="C630" s="317"/>
      <c r="D630" s="317"/>
      <c r="E630" s="317"/>
      <c r="F630" s="317"/>
      <c r="G630" s="317"/>
      <c r="H630" s="317"/>
      <c r="I630" s="317"/>
      <c r="J630" s="317"/>
      <c r="K630" s="317"/>
      <c r="L630" s="317"/>
      <c r="M630" s="317"/>
    </row>
    <row r="631" spans="1:13">
      <c r="A631" s="317"/>
      <c r="B631" s="317"/>
      <c r="C631" s="317"/>
      <c r="D631" s="317"/>
      <c r="E631" s="317"/>
      <c r="F631" s="317"/>
      <c r="G631" s="317"/>
      <c r="H631" s="317"/>
      <c r="I631" s="317"/>
      <c r="J631" s="317"/>
      <c r="K631" s="317"/>
      <c r="L631" s="317"/>
      <c r="M631" s="317"/>
    </row>
    <row r="632" spans="1:13">
      <c r="A632" s="317"/>
      <c r="B632" s="317"/>
      <c r="C632" s="317"/>
      <c r="D632" s="317"/>
      <c r="E632" s="317"/>
      <c r="F632" s="317"/>
      <c r="G632" s="317"/>
      <c r="H632" s="317"/>
      <c r="I632" s="317"/>
      <c r="J632" s="317"/>
      <c r="K632" s="317"/>
      <c r="L632" s="317"/>
      <c r="M632" s="317"/>
    </row>
    <row r="633" spans="1:13">
      <c r="A633" s="317"/>
      <c r="B633" s="317"/>
      <c r="C633" s="317"/>
      <c r="D633" s="317"/>
      <c r="E633" s="317"/>
      <c r="F633" s="317"/>
      <c r="G633" s="317"/>
      <c r="H633" s="317"/>
      <c r="I633" s="317"/>
      <c r="J633" s="317"/>
      <c r="K633" s="317"/>
      <c r="L633" s="317"/>
      <c r="M633" s="317"/>
    </row>
    <row r="634" spans="1:13">
      <c r="A634" s="317"/>
      <c r="B634" s="317"/>
      <c r="C634" s="317"/>
      <c r="D634" s="317"/>
      <c r="E634" s="317"/>
      <c r="F634" s="317"/>
      <c r="G634" s="317"/>
      <c r="H634" s="317"/>
      <c r="I634" s="317"/>
      <c r="J634" s="317"/>
      <c r="K634" s="317"/>
      <c r="L634" s="317"/>
      <c r="M634" s="317"/>
    </row>
    <row r="635" spans="1:13">
      <c r="A635" s="317"/>
      <c r="B635" s="317"/>
      <c r="C635" s="317"/>
      <c r="D635" s="317"/>
      <c r="E635" s="317"/>
      <c r="F635" s="317"/>
      <c r="G635" s="317"/>
      <c r="H635" s="317"/>
      <c r="I635" s="317"/>
      <c r="J635" s="317"/>
      <c r="K635" s="317"/>
      <c r="L635" s="317"/>
      <c r="M635" s="317"/>
    </row>
    <row r="636" spans="1:13">
      <c r="A636" s="317"/>
      <c r="B636" s="317"/>
      <c r="C636" s="317"/>
      <c r="D636" s="317"/>
      <c r="E636" s="317"/>
      <c r="F636" s="317"/>
      <c r="G636" s="317"/>
      <c r="H636" s="317"/>
      <c r="I636" s="317"/>
      <c r="J636" s="317"/>
      <c r="K636" s="317"/>
      <c r="L636" s="317"/>
      <c r="M636" s="317"/>
    </row>
    <row r="637" spans="1:13">
      <c r="A637" s="317"/>
      <c r="B637" s="317"/>
      <c r="C637" s="317"/>
      <c r="D637" s="317"/>
      <c r="E637" s="317"/>
      <c r="F637" s="317"/>
      <c r="G637" s="317"/>
      <c r="H637" s="317"/>
      <c r="I637" s="317"/>
      <c r="J637" s="317"/>
      <c r="K637" s="317"/>
      <c r="L637" s="317"/>
      <c r="M637" s="317"/>
    </row>
    <row r="638" spans="1:13">
      <c r="A638" s="317"/>
      <c r="B638" s="317"/>
      <c r="C638" s="317"/>
      <c r="D638" s="317"/>
      <c r="E638" s="317"/>
      <c r="F638" s="317"/>
      <c r="G638" s="317"/>
      <c r="H638" s="317"/>
      <c r="I638" s="317"/>
      <c r="J638" s="317"/>
      <c r="K638" s="317"/>
      <c r="L638" s="317"/>
      <c r="M638" s="317"/>
    </row>
    <row r="639" spans="1:13">
      <c r="A639" s="317"/>
      <c r="B639" s="317"/>
      <c r="C639" s="317"/>
      <c r="D639" s="317"/>
      <c r="E639" s="317"/>
      <c r="F639" s="317"/>
      <c r="G639" s="317"/>
      <c r="H639" s="317"/>
      <c r="I639" s="317"/>
      <c r="J639" s="317"/>
      <c r="K639" s="317"/>
      <c r="L639" s="317"/>
      <c r="M639" s="317"/>
    </row>
    <row r="640" spans="1:13">
      <c r="A640" s="317"/>
      <c r="B640" s="317"/>
      <c r="C640" s="317"/>
      <c r="D640" s="317"/>
      <c r="E640" s="317"/>
      <c r="F640" s="317"/>
      <c r="G640" s="317"/>
      <c r="H640" s="317"/>
      <c r="I640" s="317"/>
      <c r="J640" s="317"/>
      <c r="K640" s="317"/>
      <c r="L640" s="317"/>
      <c r="M640" s="317"/>
    </row>
    <row r="641" spans="1:13">
      <c r="A641" s="317"/>
      <c r="B641" s="317"/>
      <c r="C641" s="317"/>
      <c r="D641" s="317"/>
      <c r="E641" s="317"/>
      <c r="F641" s="317"/>
      <c r="G641" s="317"/>
      <c r="H641" s="317"/>
      <c r="I641" s="317"/>
      <c r="J641" s="317"/>
      <c r="K641" s="317"/>
      <c r="L641" s="317"/>
      <c r="M641" s="317"/>
    </row>
    <row r="642" spans="1:13">
      <c r="A642" s="317"/>
      <c r="B642" s="317"/>
      <c r="C642" s="317"/>
      <c r="D642" s="317"/>
      <c r="E642" s="317"/>
      <c r="F642" s="317"/>
      <c r="G642" s="317"/>
      <c r="H642" s="317"/>
      <c r="I642" s="317"/>
      <c r="J642" s="317"/>
      <c r="K642" s="317"/>
      <c r="L642" s="317"/>
      <c r="M642" s="317"/>
    </row>
    <row r="643" spans="1:13">
      <c r="A643" s="317"/>
      <c r="B643" s="317"/>
      <c r="C643" s="317"/>
      <c r="D643" s="317"/>
      <c r="E643" s="317"/>
      <c r="F643" s="317"/>
      <c r="G643" s="317"/>
      <c r="H643" s="317"/>
      <c r="I643" s="317"/>
      <c r="J643" s="317"/>
      <c r="K643" s="317"/>
      <c r="L643" s="317"/>
      <c r="M643" s="317"/>
    </row>
    <row r="644" spans="1:13">
      <c r="A644" s="317"/>
      <c r="B644" s="317"/>
      <c r="C644" s="317"/>
      <c r="D644" s="317"/>
      <c r="E644" s="317"/>
      <c r="F644" s="317"/>
      <c r="G644" s="317"/>
      <c r="H644" s="317"/>
      <c r="I644" s="317"/>
      <c r="J644" s="317"/>
      <c r="K644" s="317"/>
      <c r="L644" s="317"/>
      <c r="M644" s="317"/>
    </row>
    <row r="645" spans="1:13">
      <c r="A645" s="317"/>
      <c r="B645" s="317"/>
      <c r="C645" s="317"/>
      <c r="D645" s="317"/>
      <c r="E645" s="317"/>
      <c r="F645" s="317"/>
      <c r="G645" s="317"/>
      <c r="H645" s="317"/>
      <c r="I645" s="317"/>
      <c r="J645" s="317"/>
      <c r="K645" s="317"/>
      <c r="L645" s="317"/>
      <c r="M645" s="317"/>
    </row>
    <row r="646" spans="1:13">
      <c r="A646" s="317"/>
      <c r="B646" s="317"/>
      <c r="C646" s="317"/>
      <c r="D646" s="317"/>
      <c r="E646" s="317"/>
      <c r="F646" s="317"/>
      <c r="G646" s="317"/>
      <c r="H646" s="317"/>
      <c r="I646" s="317"/>
      <c r="J646" s="317"/>
      <c r="K646" s="317"/>
      <c r="L646" s="317"/>
      <c r="M646" s="317"/>
    </row>
    <row r="647" spans="1:13">
      <c r="A647" s="317"/>
      <c r="B647" s="317"/>
      <c r="C647" s="317"/>
      <c r="D647" s="317"/>
      <c r="E647" s="317"/>
      <c r="F647" s="317"/>
      <c r="G647" s="317"/>
      <c r="H647" s="317"/>
      <c r="I647" s="317"/>
      <c r="J647" s="317"/>
      <c r="K647" s="317"/>
      <c r="L647" s="317"/>
      <c r="M647" s="317"/>
    </row>
    <row r="648" spans="1:13">
      <c r="A648" s="317"/>
      <c r="B648" s="317"/>
      <c r="C648" s="317"/>
      <c r="D648" s="317"/>
      <c r="E648" s="317"/>
      <c r="F648" s="317"/>
      <c r="G648" s="317"/>
      <c r="H648" s="317"/>
      <c r="I648" s="317"/>
      <c r="J648" s="317"/>
      <c r="K648" s="317"/>
      <c r="L648" s="317"/>
      <c r="M648" s="317"/>
    </row>
    <row r="649" spans="1:13">
      <c r="A649" s="317"/>
      <c r="B649" s="317"/>
      <c r="C649" s="317"/>
      <c r="D649" s="317"/>
      <c r="E649" s="317"/>
      <c r="F649" s="317"/>
      <c r="G649" s="317"/>
      <c r="H649" s="317"/>
      <c r="I649" s="317"/>
      <c r="J649" s="317"/>
      <c r="K649" s="317"/>
      <c r="L649" s="317"/>
      <c r="M649" s="317"/>
    </row>
    <row r="650" spans="1:13">
      <c r="A650" s="317"/>
      <c r="B650" s="317"/>
      <c r="C650" s="317"/>
      <c r="D650" s="317"/>
      <c r="E650" s="317"/>
      <c r="F650" s="317"/>
      <c r="G650" s="317"/>
      <c r="H650" s="317"/>
      <c r="I650" s="317"/>
      <c r="J650" s="317"/>
      <c r="K650" s="317"/>
      <c r="L650" s="317"/>
      <c r="M650" s="317"/>
    </row>
  </sheetData>
  <mergeCells count="40">
    <mergeCell ref="A589:M650"/>
    <mergeCell ref="K2:M2"/>
    <mergeCell ref="A3:I3"/>
    <mergeCell ref="K3:M3"/>
    <mergeCell ref="A22:I23"/>
    <mergeCell ref="A13:I13"/>
    <mergeCell ref="A19:A20"/>
    <mergeCell ref="E20:I21"/>
    <mergeCell ref="A42:I43"/>
    <mergeCell ref="A44:I44"/>
    <mergeCell ref="C51:D51"/>
    <mergeCell ref="K24:M24"/>
    <mergeCell ref="K44:M44"/>
    <mergeCell ref="G46:G50"/>
    <mergeCell ref="I46:I50"/>
    <mergeCell ref="K34:M34"/>
    <mergeCell ref="A1:I1"/>
    <mergeCell ref="A2:I2"/>
    <mergeCell ref="A11:I12"/>
    <mergeCell ref="C41:D41"/>
    <mergeCell ref="C31:D31"/>
    <mergeCell ref="G5:G9"/>
    <mergeCell ref="I5:I9"/>
    <mergeCell ref="C10:D10"/>
    <mergeCell ref="G15:G19"/>
    <mergeCell ref="I15:I19"/>
    <mergeCell ref="C19:C20"/>
    <mergeCell ref="D19:D20"/>
    <mergeCell ref="I26:I30"/>
    <mergeCell ref="A32:I33"/>
    <mergeCell ref="A34:I34"/>
    <mergeCell ref="G36:G40"/>
    <mergeCell ref="I36:I40"/>
    <mergeCell ref="A24:I24"/>
    <mergeCell ref="G26:G30"/>
    <mergeCell ref="B59:E59"/>
    <mergeCell ref="A52:I53"/>
    <mergeCell ref="A54:D54"/>
    <mergeCell ref="G55:G56"/>
    <mergeCell ref="H55:H56"/>
  </mergeCells>
  <conditionalFormatting sqref="A60:I63 A65:I65 A64:B64 D64:I64">
    <cfRule type="cellIs" dxfId="270" priority="5" operator="equal">
      <formula>"Public Holiday"</formula>
    </cfRule>
  </conditionalFormatting>
  <conditionalFormatting sqref="A60:I63 A65:I68 A64:B64 D64:I64">
    <cfRule type="cellIs" dxfId="269" priority="6" operator="equal">
      <formula>"No Slot"</formula>
    </cfRule>
  </conditionalFormatting>
  <conditionalFormatting sqref="A1:I4 A5:B9 B10 A11 A22 A54 E54 G54:I55 A55:E55 G56 I56 G57:I59 A32 A42 A52 A15:B21 A59:B59 A57:E58 A56:B56 D56:E56 A13:I14 A24:I25 A34:I35 A44:I45 A36:B41 A46:B51 A26:B31">
    <cfRule type="cellIs" dxfId="268" priority="1" operator="equal">
      <formula>"Public Holiday"</formula>
    </cfRule>
  </conditionalFormatting>
  <conditionalFormatting sqref="A1:I4 A5:B9 B10 A11 A22 A54 E54 G54:I55 A55:E55 G56 I56 G57:I59 A32 A42 A52 A15:B21 A59:B59 A57:E58 A56:B56 D56:E56 A13:I14 A24:I25 A34:I35 A44:I45 A36:B41 A46:B51 A26:B31">
    <cfRule type="cellIs" dxfId="267" priority="2" operator="equal">
      <formula>"No Slot"</formula>
    </cfRule>
  </conditionalFormatting>
  <printOptions horizontalCentered="1" verticalCentered="1"/>
  <pageMargins left="0.7" right="0.7" top="0.75" bottom="0.75" header="0.3" footer="0.3"/>
  <pageSetup paperSize="12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00D648-2CEB-4578-BC33-8DF225FDA64B}">
          <x14:formula1>
            <xm:f>'Names list'!$C$2:$C$71</xm:f>
          </x14:formula1>
          <xm:sqref>G57:H57 G46 F36:G36 H46:H51 H16:H19 G5 E18:E20 I26 F18:F19 F37:F41 I51 G15:I15 H36:H40 I36 C5:F6 I46 F26:F30 C36:E41 F31:I31 C15:D19 I5 G51 F10:G10 I10 F7:F9 C56:D57 G26 D61:E62 H26:H30 C46:F51 E15:F17 H5:H10 C7:E10 C26:E31 G41:I41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CAA4-6142-4F41-80FF-0221EF8BDA10}">
  <sheetPr>
    <pageSetUpPr fitToPage="1"/>
  </sheetPr>
  <dimension ref="A1:FS624"/>
  <sheetViews>
    <sheetView topLeftCell="A29" zoomScale="80" zoomScaleNormal="80" workbookViewId="0">
      <pane xSplit="1" topLeftCell="B7" activePane="topRight" state="frozen"/>
      <selection pane="topRight" activeCell="F7" sqref="F7"/>
      <selection activeCell="A29" sqref="A29"/>
    </sheetView>
  </sheetViews>
  <sheetFormatPr defaultColWidth="9.625" defaultRowHeight="14.25"/>
  <cols>
    <col min="1" max="1" width="9.375" style="9" customWidth="1"/>
    <col min="2" max="2" width="15.5" style="9" customWidth="1"/>
    <col min="3" max="3" width="35.875" style="9" customWidth="1"/>
    <col min="4" max="4" width="39" style="9" customWidth="1"/>
    <col min="5" max="5" width="37.875" style="9" customWidth="1"/>
    <col min="6" max="6" width="35.25" style="9" customWidth="1"/>
    <col min="7" max="7" width="35.875" style="62" hidden="1" customWidth="1"/>
    <col min="8" max="8" width="34.875" style="9" customWidth="1"/>
    <col min="9" max="9" width="36.5" style="9" customWidth="1"/>
    <col min="10" max="10" width="69.5" style="9" customWidth="1"/>
    <col min="11" max="11" width="18.25" style="9" customWidth="1"/>
    <col min="12" max="12" width="15.625" style="11" customWidth="1"/>
    <col min="13" max="13" width="3.75" style="11" customWidth="1"/>
    <col min="14" max="15" width="3.375" style="11" customWidth="1"/>
    <col min="16" max="16" width="9.625" style="11"/>
    <col min="17" max="16384" width="9.625" style="9"/>
  </cols>
  <sheetData>
    <row r="1" spans="1:175" ht="15" customHeight="1">
      <c r="A1" s="294" t="s">
        <v>69</v>
      </c>
      <c r="B1" s="294"/>
      <c r="C1" s="294"/>
      <c r="D1" s="294"/>
      <c r="E1" s="294"/>
      <c r="F1" s="294"/>
      <c r="G1" s="294"/>
      <c r="H1" s="294"/>
      <c r="I1" s="294"/>
      <c r="J1" s="3"/>
      <c r="K1" s="8"/>
      <c r="L1" s="8"/>
      <c r="M1" s="8"/>
      <c r="N1" s="8"/>
      <c r="O1" s="8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</row>
    <row r="2" spans="1:175" ht="15" customHeight="1">
      <c r="A2" s="295" t="str">
        <f>CONCATENATE("Effective from ",TEXT(A3,"d mmmm yyyy")," to ",TEXT(A54,"d mmmm yyyy"))</f>
        <v>Effective from 3 November 2025 to 8 November 2025</v>
      </c>
      <c r="B2" s="295"/>
      <c r="C2" s="295"/>
      <c r="D2" s="295"/>
      <c r="E2" s="295"/>
      <c r="F2" s="295"/>
      <c r="G2" s="295"/>
      <c r="H2" s="295"/>
      <c r="I2" s="295"/>
      <c r="J2" s="1"/>
      <c r="K2" s="8"/>
      <c r="L2" s="8"/>
      <c r="M2" s="8"/>
      <c r="N2" s="8"/>
      <c r="O2" s="8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</row>
    <row r="3" spans="1:175" ht="15" customHeight="1">
      <c r="A3" s="338">
        <v>45964</v>
      </c>
      <c r="B3" s="339"/>
      <c r="C3" s="340"/>
      <c r="D3" s="340"/>
      <c r="E3" s="340"/>
      <c r="F3" s="340"/>
      <c r="G3" s="340"/>
      <c r="H3" s="340"/>
      <c r="I3" s="341"/>
      <c r="J3" s="11"/>
      <c r="K3" s="11"/>
      <c r="L3" s="8"/>
      <c r="M3" s="8"/>
      <c r="N3" s="8"/>
      <c r="O3" s="8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</row>
    <row r="4" spans="1:175" ht="15" customHeight="1">
      <c r="A4" s="68" t="s">
        <v>1</v>
      </c>
      <c r="B4" s="124" t="s">
        <v>2</v>
      </c>
      <c r="C4" s="152" t="s">
        <v>3</v>
      </c>
      <c r="D4" s="112" t="s">
        <v>4</v>
      </c>
      <c r="E4" s="112" t="s">
        <v>5</v>
      </c>
      <c r="F4" s="112" t="s">
        <v>6</v>
      </c>
      <c r="G4" s="149"/>
      <c r="H4" s="112" t="s">
        <v>8</v>
      </c>
      <c r="I4" s="153" t="s">
        <v>9</v>
      </c>
      <c r="J4" s="11"/>
      <c r="K4" s="11"/>
      <c r="L4" s="8"/>
      <c r="N4" s="8"/>
      <c r="O4" s="8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</row>
    <row r="5" spans="1:175" ht="15" customHeight="1">
      <c r="A5" s="69" t="s">
        <v>10</v>
      </c>
      <c r="B5" s="125" t="s">
        <v>11</v>
      </c>
      <c r="C5" s="120" t="s">
        <v>70</v>
      </c>
      <c r="D5" s="122" t="s">
        <v>71</v>
      </c>
      <c r="E5" s="122" t="s">
        <v>72</v>
      </c>
      <c r="F5" s="51" t="s">
        <v>73</v>
      </c>
      <c r="G5" s="150"/>
      <c r="H5" s="51" t="s">
        <v>74</v>
      </c>
      <c r="I5" s="120" t="s">
        <v>75</v>
      </c>
      <c r="J5" s="8"/>
      <c r="K5" s="8"/>
      <c r="L5" s="8"/>
      <c r="N5" s="8"/>
      <c r="O5" s="8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</row>
    <row r="6" spans="1:175" ht="15" customHeight="1">
      <c r="A6" s="69" t="s">
        <v>17</v>
      </c>
      <c r="B6" s="125" t="s">
        <v>18</v>
      </c>
      <c r="C6" s="51" t="s">
        <v>76</v>
      </c>
      <c r="D6" s="122" t="s">
        <v>73</v>
      </c>
      <c r="E6" s="122" t="s">
        <v>77</v>
      </c>
      <c r="F6" s="51" t="s">
        <v>71</v>
      </c>
      <c r="G6" s="150"/>
      <c r="H6" s="51" t="s">
        <v>70</v>
      </c>
      <c r="I6" s="51" t="s">
        <v>78</v>
      </c>
      <c r="J6" s="8"/>
      <c r="K6" s="8"/>
      <c r="N6" s="8"/>
      <c r="O6" s="8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</row>
    <row r="7" spans="1:175" ht="15" customHeight="1">
      <c r="A7" s="69" t="s">
        <v>22</v>
      </c>
      <c r="B7" s="125" t="s">
        <v>23</v>
      </c>
      <c r="C7" s="51" t="s">
        <v>77</v>
      </c>
      <c r="D7" s="120" t="s">
        <v>79</v>
      </c>
      <c r="E7" s="120" t="s">
        <v>80</v>
      </c>
      <c r="F7" s="51" t="s">
        <v>81</v>
      </c>
      <c r="G7" s="150"/>
      <c r="H7" s="51" t="s">
        <v>82</v>
      </c>
      <c r="I7" s="51" t="s">
        <v>83</v>
      </c>
      <c r="J7" s="8"/>
      <c r="K7" s="8"/>
      <c r="L7" s="8"/>
      <c r="N7" s="8"/>
      <c r="O7" s="8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</row>
    <row r="8" spans="1:175" ht="15" customHeight="1">
      <c r="A8" s="69" t="s">
        <v>28</v>
      </c>
      <c r="B8" s="125" t="s">
        <v>29</v>
      </c>
      <c r="C8" s="51" t="s">
        <v>84</v>
      </c>
      <c r="D8" s="122" t="s">
        <v>85</v>
      </c>
      <c r="E8" s="51" t="s">
        <v>86</v>
      </c>
      <c r="F8" s="51" t="s">
        <v>87</v>
      </c>
      <c r="G8" s="150"/>
      <c r="H8" s="51" t="s">
        <v>81</v>
      </c>
      <c r="I8" s="120" t="s">
        <v>73</v>
      </c>
      <c r="J8" s="8"/>
      <c r="K8" s="8"/>
      <c r="L8" s="8"/>
      <c r="N8" s="8"/>
      <c r="O8" s="8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</row>
    <row r="9" spans="1:175" ht="15" customHeight="1">
      <c r="A9" s="69" t="s">
        <v>33</v>
      </c>
      <c r="B9" s="125" t="s">
        <v>34</v>
      </c>
      <c r="C9" s="51" t="s">
        <v>74</v>
      </c>
      <c r="D9" s="122" t="s">
        <v>78</v>
      </c>
      <c r="E9" s="120" t="s">
        <v>88</v>
      </c>
      <c r="F9" s="51" t="s">
        <v>75</v>
      </c>
      <c r="G9" s="150"/>
      <c r="H9" s="51" t="s">
        <v>89</v>
      </c>
      <c r="I9" s="120" t="s">
        <v>90</v>
      </c>
      <c r="J9" s="8"/>
      <c r="K9" s="8"/>
      <c r="L9" s="8"/>
      <c r="N9" s="8"/>
      <c r="O9" s="8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</row>
    <row r="10" spans="1:175" ht="15" customHeight="1">
      <c r="A10" s="70" t="s">
        <v>35</v>
      </c>
      <c r="B10" s="126" t="s">
        <v>36</v>
      </c>
      <c r="C10" s="342" t="s">
        <v>91</v>
      </c>
      <c r="D10" s="343"/>
      <c r="E10" s="122" t="s">
        <v>90</v>
      </c>
      <c r="F10" s="51" t="s">
        <v>85</v>
      </c>
      <c r="G10" s="150"/>
      <c r="H10" s="51" t="s">
        <v>92</v>
      </c>
      <c r="I10" s="120" t="s">
        <v>86</v>
      </c>
      <c r="J10" s="8"/>
      <c r="K10" s="8"/>
      <c r="L10" s="8"/>
      <c r="N10" s="8"/>
      <c r="O10" s="8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</row>
    <row r="11" spans="1:175" ht="15" customHeight="1">
      <c r="A11" s="11"/>
      <c r="B11" s="11"/>
      <c r="C11" s="11"/>
      <c r="D11" s="11"/>
      <c r="E11" s="11"/>
      <c r="F11" s="11"/>
      <c r="G11" s="65"/>
      <c r="H11" s="11"/>
      <c r="I11" s="11"/>
      <c r="J11" s="8"/>
      <c r="K11" s="8"/>
      <c r="L11" s="8"/>
      <c r="M11" s="8"/>
      <c r="N11" s="8"/>
      <c r="O11" s="8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</row>
    <row r="12" spans="1:175" ht="15" customHeight="1">
      <c r="A12" s="67"/>
      <c r="B12" s="67"/>
      <c r="C12" s="67"/>
      <c r="D12" s="67"/>
      <c r="E12" s="67"/>
      <c r="F12" s="67"/>
      <c r="G12" s="71"/>
      <c r="H12" s="67"/>
      <c r="I12" s="67"/>
      <c r="J12" s="8"/>
      <c r="K12" s="8"/>
      <c r="L12" s="8"/>
      <c r="M12" s="8"/>
      <c r="N12" s="8"/>
      <c r="O12" s="8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</row>
    <row r="13" spans="1:175" ht="15" customHeight="1">
      <c r="A13" s="287">
        <f>A3+1</f>
        <v>45965</v>
      </c>
      <c r="B13" s="288"/>
      <c r="C13" s="280"/>
      <c r="D13" s="280"/>
      <c r="E13" s="280"/>
      <c r="F13" s="280"/>
      <c r="G13" s="280"/>
      <c r="H13" s="280"/>
      <c r="I13" s="316"/>
      <c r="J13" s="8"/>
      <c r="K13" s="8"/>
      <c r="L13" s="8"/>
      <c r="M13" s="8"/>
      <c r="N13" s="8"/>
      <c r="O13" s="8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</row>
    <row r="14" spans="1:175" ht="15" customHeight="1">
      <c r="A14" s="56" t="s">
        <v>1</v>
      </c>
      <c r="B14" s="56" t="s">
        <v>2</v>
      </c>
      <c r="C14" s="152" t="str">
        <f>C4</f>
        <v>TechCentre-1</v>
      </c>
      <c r="D14" s="112" t="str">
        <f>D4</f>
        <v>TechCentre-2</v>
      </c>
      <c r="E14" s="112" t="str">
        <f t="shared" ref="E14:I14" si="0">E4</f>
        <v>Rounding-1</v>
      </c>
      <c r="F14" s="112" t="str">
        <f t="shared" si="0"/>
        <v>Rounding-2</v>
      </c>
      <c r="G14" s="149"/>
      <c r="H14" s="112" t="str">
        <f t="shared" si="0"/>
        <v>QC-1</v>
      </c>
      <c r="I14" s="153" t="str">
        <f t="shared" si="0"/>
        <v>QC-2</v>
      </c>
      <c r="J14" s="8"/>
      <c r="K14" s="67"/>
      <c r="L14" s="8"/>
      <c r="M14" s="8"/>
      <c r="N14" s="8"/>
      <c r="O14" s="8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</row>
    <row r="15" spans="1:175" ht="15" customHeight="1">
      <c r="A15" s="57" t="s">
        <v>10</v>
      </c>
      <c r="B15" s="60" t="s">
        <v>11</v>
      </c>
      <c r="C15" s="51" t="s">
        <v>86</v>
      </c>
      <c r="D15" s="120" t="s">
        <v>93</v>
      </c>
      <c r="E15" s="51" t="s">
        <v>94</v>
      </c>
      <c r="F15" s="51" t="s">
        <v>95</v>
      </c>
      <c r="G15" s="151" t="s">
        <v>96</v>
      </c>
      <c r="H15" s="120" t="s">
        <v>88</v>
      </c>
      <c r="I15" s="120" t="s">
        <v>97</v>
      </c>
      <c r="J15" s="67"/>
      <c r="K15" s="11"/>
      <c r="L15" s="8"/>
      <c r="M15" s="8"/>
      <c r="N15" s="8"/>
      <c r="O15" s="8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</row>
    <row r="16" spans="1:175" ht="15" customHeight="1">
      <c r="A16" s="57" t="s">
        <v>17</v>
      </c>
      <c r="B16" s="60" t="s">
        <v>18</v>
      </c>
      <c r="C16" s="51" t="s">
        <v>85</v>
      </c>
      <c r="D16" s="120" t="s">
        <v>76</v>
      </c>
      <c r="E16" s="51" t="s">
        <v>98</v>
      </c>
      <c r="F16" s="120" t="s">
        <v>86</v>
      </c>
      <c r="G16" s="151" t="s">
        <v>96</v>
      </c>
      <c r="H16" s="120" t="s">
        <v>77</v>
      </c>
      <c r="I16" s="120" t="s">
        <v>95</v>
      </c>
      <c r="J16" s="67"/>
      <c r="K16" s="67"/>
      <c r="L16" s="8"/>
      <c r="M16" s="8"/>
      <c r="N16" s="8"/>
      <c r="O16" s="8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</row>
    <row r="17" spans="1:175" ht="15" customHeight="1">
      <c r="A17" s="57" t="s">
        <v>22</v>
      </c>
      <c r="B17" s="60" t="s">
        <v>23</v>
      </c>
      <c r="C17" s="120" t="s">
        <v>87</v>
      </c>
      <c r="D17" s="120" t="s">
        <v>70</v>
      </c>
      <c r="E17" s="51" t="s">
        <v>99</v>
      </c>
      <c r="F17" s="120" t="s">
        <v>78</v>
      </c>
      <c r="G17" s="151" t="s">
        <v>96</v>
      </c>
      <c r="H17" s="120" t="s">
        <v>85</v>
      </c>
      <c r="I17" s="120" t="s">
        <v>84</v>
      </c>
      <c r="J17" s="8"/>
      <c r="K17" s="8"/>
      <c r="L17" s="8"/>
      <c r="M17" s="8"/>
      <c r="N17" s="8"/>
      <c r="O17" s="8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</row>
    <row r="18" spans="1:175" ht="15" customHeight="1">
      <c r="A18" s="57" t="s">
        <v>28</v>
      </c>
      <c r="B18" s="60" t="s">
        <v>29</v>
      </c>
      <c r="C18" s="51" t="s">
        <v>90</v>
      </c>
      <c r="D18" s="120" t="s">
        <v>81</v>
      </c>
      <c r="E18" s="51" t="s">
        <v>94</v>
      </c>
      <c r="F18" s="120" t="s">
        <v>70</v>
      </c>
      <c r="G18" s="151" t="s">
        <v>96</v>
      </c>
      <c r="H18" s="120" t="s">
        <v>98</v>
      </c>
      <c r="I18" s="120" t="s">
        <v>83</v>
      </c>
      <c r="J18" s="8"/>
      <c r="K18" s="8"/>
      <c r="L18" s="8"/>
      <c r="M18" s="8"/>
      <c r="N18" s="8"/>
      <c r="O18" s="8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</row>
    <row r="19" spans="1:175" ht="15.75" customHeight="1">
      <c r="A19" s="354" t="s">
        <v>33</v>
      </c>
      <c r="B19" s="60" t="s">
        <v>47</v>
      </c>
      <c r="C19" s="367" t="s">
        <v>83</v>
      </c>
      <c r="D19" s="368" t="s">
        <v>72</v>
      </c>
      <c r="E19" s="51" t="s">
        <v>71</v>
      </c>
      <c r="F19" s="120" t="s">
        <v>98</v>
      </c>
      <c r="G19" s="151" t="s">
        <v>96</v>
      </c>
      <c r="H19" s="120" t="s">
        <v>76</v>
      </c>
      <c r="I19" s="120" t="s">
        <v>70</v>
      </c>
      <c r="J19" s="8"/>
      <c r="K19" s="8"/>
      <c r="L19" s="8"/>
      <c r="M19" s="8"/>
      <c r="N19" s="8"/>
      <c r="O19" s="8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</row>
    <row r="20" spans="1:175" ht="15.75" customHeight="1">
      <c r="A20" s="355"/>
      <c r="B20" s="60" t="s">
        <v>48</v>
      </c>
      <c r="C20" s="367"/>
      <c r="D20" s="368"/>
      <c r="E20" s="366"/>
      <c r="F20" s="366"/>
      <c r="G20" s="366"/>
      <c r="H20" s="366"/>
      <c r="I20" s="366"/>
      <c r="J20" s="8"/>
      <c r="K20" s="11"/>
      <c r="L20" s="8"/>
      <c r="M20" s="8"/>
      <c r="N20" s="8"/>
      <c r="O20" s="8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</row>
    <row r="21" spans="1:175" ht="15" customHeight="1">
      <c r="A21" s="58" t="s">
        <v>35</v>
      </c>
      <c r="B21" s="58" t="s">
        <v>36</v>
      </c>
      <c r="C21" s="363" t="s">
        <v>91</v>
      </c>
      <c r="D21" s="364"/>
      <c r="E21" s="364"/>
      <c r="F21" s="364"/>
      <c r="G21" s="364"/>
      <c r="H21" s="364"/>
      <c r="I21" s="365"/>
      <c r="J21" s="10"/>
      <c r="K21" s="8"/>
      <c r="L21" s="8"/>
      <c r="M21" s="8"/>
      <c r="N21" s="8"/>
      <c r="O21" s="8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</row>
    <row r="22" spans="1:175" ht="15" customHeight="1">
      <c r="A22" s="67"/>
      <c r="B22" s="67"/>
      <c r="C22" s="67"/>
      <c r="D22" s="67"/>
      <c r="E22" s="67"/>
      <c r="F22" s="67"/>
      <c r="G22" s="71"/>
      <c r="H22" s="67"/>
      <c r="I22" s="67"/>
      <c r="J22" s="10"/>
      <c r="K22" s="8"/>
      <c r="L22" s="8"/>
      <c r="M22" s="8"/>
      <c r="N22" s="8"/>
      <c r="O22" s="8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</row>
    <row r="23" spans="1:175" ht="15" customHeight="1">
      <c r="A23" s="67"/>
      <c r="B23" s="67"/>
      <c r="C23" s="67"/>
      <c r="D23" s="67"/>
      <c r="E23" s="67"/>
      <c r="F23" s="67"/>
      <c r="G23" s="71"/>
      <c r="H23" s="67"/>
      <c r="I23" s="67"/>
      <c r="J23" s="10"/>
      <c r="K23" s="8"/>
      <c r="L23" s="8"/>
      <c r="M23" s="8"/>
      <c r="N23" s="8"/>
      <c r="O23" s="8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</row>
    <row r="24" spans="1:175" ht="15" customHeight="1">
      <c r="A24" s="356">
        <f>A13+1</f>
        <v>45966</v>
      </c>
      <c r="B24" s="281"/>
      <c r="C24" s="280"/>
      <c r="D24" s="280"/>
      <c r="E24" s="280"/>
      <c r="F24" s="280"/>
      <c r="G24" s="280"/>
      <c r="H24" s="280"/>
      <c r="I24" s="316"/>
      <c r="J24" s="8"/>
      <c r="K24" s="8"/>
      <c r="L24" s="8"/>
      <c r="M24" s="8"/>
      <c r="N24" s="8"/>
      <c r="O24" s="8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</row>
    <row r="25" spans="1:175" ht="15" customHeight="1">
      <c r="A25" s="21" t="s">
        <v>1</v>
      </c>
      <c r="B25" s="121" t="s">
        <v>2</v>
      </c>
      <c r="C25" s="152" t="str">
        <f>C4</f>
        <v>TechCentre-1</v>
      </c>
      <c r="D25" s="112" t="str">
        <f>D4</f>
        <v>TechCentre-2</v>
      </c>
      <c r="E25" s="112" t="str">
        <f>E4</f>
        <v>Rounding-1</v>
      </c>
      <c r="F25" s="112" t="str">
        <f>F4</f>
        <v>Rounding-2</v>
      </c>
      <c r="G25" s="336"/>
      <c r="H25" s="112" t="str">
        <f>H4</f>
        <v>QC-1</v>
      </c>
      <c r="I25" s="153" t="str">
        <f>I4</f>
        <v>QC-2</v>
      </c>
      <c r="J25" s="8"/>
      <c r="K25" s="8"/>
      <c r="L25" s="8"/>
      <c r="M25" s="8"/>
      <c r="N25" s="8"/>
      <c r="O25" s="8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</row>
    <row r="26" spans="1:175" ht="15" customHeight="1">
      <c r="A26" s="22" t="s">
        <v>10</v>
      </c>
      <c r="B26" s="25" t="s">
        <v>11</v>
      </c>
      <c r="C26" s="120" t="s">
        <v>88</v>
      </c>
      <c r="D26" s="122" t="s">
        <v>80</v>
      </c>
      <c r="E26" s="51" t="s">
        <v>74</v>
      </c>
      <c r="F26" s="120" t="s">
        <v>72</v>
      </c>
      <c r="G26" s="337"/>
      <c r="H26" s="120" t="s">
        <v>70</v>
      </c>
      <c r="I26" s="51" t="s">
        <v>89</v>
      </c>
      <c r="J26" s="8"/>
      <c r="K26" s="8"/>
      <c r="L26" s="8"/>
      <c r="M26" s="8"/>
      <c r="N26" s="8"/>
      <c r="O26" s="8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</row>
    <row r="27" spans="1:175" ht="15" customHeight="1">
      <c r="A27" s="23" t="s">
        <v>17</v>
      </c>
      <c r="B27" s="26" t="s">
        <v>18</v>
      </c>
      <c r="C27" s="51" t="s">
        <v>92</v>
      </c>
      <c r="D27" s="51" t="s">
        <v>85</v>
      </c>
      <c r="E27" s="120" t="s">
        <v>76</v>
      </c>
      <c r="F27" s="51" t="s">
        <v>84</v>
      </c>
      <c r="G27" s="337"/>
      <c r="H27" s="51" t="s">
        <v>72</v>
      </c>
      <c r="I27" s="51" t="s">
        <v>87</v>
      </c>
      <c r="J27" s="8"/>
      <c r="K27" s="8"/>
      <c r="L27" s="8"/>
      <c r="M27" s="8"/>
      <c r="N27" s="8"/>
      <c r="O27" s="8"/>
      <c r="P27" s="8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</row>
    <row r="28" spans="1:175" ht="15" customHeight="1">
      <c r="A28" s="23" t="s">
        <v>22</v>
      </c>
      <c r="B28" s="26" t="s">
        <v>23</v>
      </c>
      <c r="C28" s="51" t="s">
        <v>87</v>
      </c>
      <c r="D28" s="51" t="s">
        <v>88</v>
      </c>
      <c r="E28" s="51" t="s">
        <v>85</v>
      </c>
      <c r="F28" s="51" t="s">
        <v>98</v>
      </c>
      <c r="G28" s="337"/>
      <c r="H28" s="51" t="s">
        <v>100</v>
      </c>
      <c r="I28" s="51" t="s">
        <v>92</v>
      </c>
      <c r="J28" s="8"/>
      <c r="K28" s="8"/>
      <c r="L28" s="8"/>
      <c r="M28" s="8"/>
      <c r="N28" s="8"/>
      <c r="O28" s="8"/>
      <c r="P28" s="8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</row>
    <row r="29" spans="1:175" ht="15" customHeight="1">
      <c r="A29" s="23" t="s">
        <v>28</v>
      </c>
      <c r="B29" s="26" t="s">
        <v>29</v>
      </c>
      <c r="C29" s="51" t="s">
        <v>82</v>
      </c>
      <c r="D29" s="122" t="s">
        <v>73</v>
      </c>
      <c r="E29" s="120" t="s">
        <v>100</v>
      </c>
      <c r="F29" s="51" t="s">
        <v>70</v>
      </c>
      <c r="G29" s="337"/>
      <c r="H29" s="120" t="s">
        <v>75</v>
      </c>
      <c r="I29" s="51" t="s">
        <v>74</v>
      </c>
      <c r="J29" s="10"/>
      <c r="K29" s="10"/>
      <c r="L29" s="8"/>
      <c r="M29" s="8"/>
      <c r="N29" s="8"/>
      <c r="O29" s="8"/>
      <c r="P29" s="8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</row>
    <row r="30" spans="1:175" ht="15" customHeight="1">
      <c r="A30" s="23" t="s">
        <v>33</v>
      </c>
      <c r="B30" s="26" t="s">
        <v>34</v>
      </c>
      <c r="C30" s="154" t="s">
        <v>98</v>
      </c>
      <c r="D30" s="51" t="s">
        <v>70</v>
      </c>
      <c r="E30" s="120" t="s">
        <v>101</v>
      </c>
      <c r="F30" s="120" t="s">
        <v>79</v>
      </c>
      <c r="G30" s="337"/>
      <c r="H30" s="120" t="s">
        <v>85</v>
      </c>
      <c r="I30" s="122" t="s">
        <v>99</v>
      </c>
      <c r="J30" s="11"/>
      <c r="K30" s="11"/>
      <c r="L30" s="8"/>
      <c r="M30" s="8"/>
      <c r="N30" s="8"/>
      <c r="O30" s="8"/>
      <c r="P30" s="8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</row>
    <row r="31" spans="1:175" ht="15" customHeight="1">
      <c r="A31" s="24" t="s">
        <v>35</v>
      </c>
      <c r="B31" s="27" t="s">
        <v>36</v>
      </c>
      <c r="C31" s="346" t="s">
        <v>91</v>
      </c>
      <c r="D31" s="347"/>
      <c r="E31" s="154" t="s">
        <v>102</v>
      </c>
      <c r="F31" s="154" t="s">
        <v>87</v>
      </c>
      <c r="G31" s="154"/>
      <c r="H31" s="154" t="s">
        <v>72</v>
      </c>
      <c r="I31" s="154" t="s">
        <v>98</v>
      </c>
      <c r="J31" s="8"/>
      <c r="K31" s="8"/>
      <c r="L31" s="8"/>
      <c r="N31" s="8"/>
      <c r="O31" s="8"/>
      <c r="P31" s="8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</row>
    <row r="32" spans="1:175" ht="15" customHeight="1">
      <c r="A32" s="10"/>
      <c r="B32" s="10"/>
      <c r="C32" s="10"/>
      <c r="D32" s="10"/>
      <c r="E32" s="10"/>
      <c r="F32" s="10"/>
      <c r="G32" s="63"/>
      <c r="H32" s="10"/>
      <c r="I32" s="10"/>
      <c r="J32" s="8">
        <v>2</v>
      </c>
      <c r="K32" s="8"/>
      <c r="L32" s="8"/>
      <c r="M32" s="8"/>
      <c r="N32" s="8"/>
      <c r="O32" s="8"/>
      <c r="P32" s="8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</row>
    <row r="33" spans="1:175" ht="15" customHeight="1">
      <c r="A33" s="10"/>
      <c r="B33" s="10"/>
      <c r="C33" s="10"/>
      <c r="D33" s="10"/>
      <c r="E33" s="10"/>
      <c r="F33" s="10"/>
      <c r="G33" s="63"/>
      <c r="H33" s="10"/>
      <c r="I33" s="10"/>
      <c r="J33" s="8"/>
      <c r="K33" s="8"/>
      <c r="L33" s="8"/>
      <c r="M33" s="8"/>
      <c r="N33" s="8"/>
      <c r="O33" s="8"/>
      <c r="P33" s="8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</row>
    <row r="34" spans="1:175" ht="15" customHeight="1">
      <c r="A34" s="356">
        <f>A24+1</f>
        <v>45967</v>
      </c>
      <c r="B34" s="281"/>
      <c r="C34" s="280"/>
      <c r="D34" s="280"/>
      <c r="E34" s="280"/>
      <c r="F34" s="280"/>
      <c r="G34" s="280"/>
      <c r="H34" s="280"/>
      <c r="I34" s="316"/>
      <c r="J34" s="8"/>
      <c r="K34" s="8"/>
      <c r="L34" s="8"/>
      <c r="M34" s="8"/>
      <c r="N34" s="8"/>
      <c r="O34" s="8"/>
      <c r="P34" s="8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</row>
    <row r="35" spans="1:175" ht="15" customHeight="1">
      <c r="A35" s="21" t="s">
        <v>1</v>
      </c>
      <c r="B35" s="121" t="s">
        <v>2</v>
      </c>
      <c r="C35" s="192" t="str">
        <f>C4</f>
        <v>TechCentre-1</v>
      </c>
      <c r="D35" s="192" t="str">
        <f>D4</f>
        <v>TechCentre-2</v>
      </c>
      <c r="E35" s="192" t="str">
        <f>E4</f>
        <v>Rounding-1</v>
      </c>
      <c r="F35" s="192" t="str">
        <f>F4</f>
        <v>Rounding-2</v>
      </c>
      <c r="G35" s="337"/>
      <c r="H35" s="192" t="str">
        <f>H4</f>
        <v>QC-1</v>
      </c>
      <c r="I35" s="192" t="str">
        <f>I4</f>
        <v>QC-2</v>
      </c>
      <c r="J35" s="8"/>
      <c r="K35" s="8"/>
      <c r="L35" s="8"/>
      <c r="M35" s="8"/>
      <c r="N35" s="8"/>
      <c r="O35" s="8"/>
      <c r="P35" s="8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</row>
    <row r="36" spans="1:175" ht="15" customHeight="1">
      <c r="A36" s="22" t="s">
        <v>10</v>
      </c>
      <c r="B36" s="25" t="s">
        <v>11</v>
      </c>
      <c r="C36" s="120" t="s">
        <v>94</v>
      </c>
      <c r="D36" s="154" t="s">
        <v>103</v>
      </c>
      <c r="E36" s="51" t="s">
        <v>93</v>
      </c>
      <c r="F36" s="51" t="s">
        <v>102</v>
      </c>
      <c r="G36" s="337"/>
      <c r="H36" s="51" t="s">
        <v>95</v>
      </c>
      <c r="I36" s="221" t="s">
        <v>97</v>
      </c>
      <c r="J36" s="8"/>
      <c r="K36" s="8"/>
      <c r="L36" s="8"/>
      <c r="M36" s="8"/>
      <c r="N36" s="8"/>
      <c r="O36" s="8"/>
      <c r="P36" s="8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</row>
    <row r="37" spans="1:175" ht="15" customHeight="1">
      <c r="A37" s="23" t="s">
        <v>17</v>
      </c>
      <c r="B37" s="26" t="s">
        <v>18</v>
      </c>
      <c r="C37" s="51" t="s">
        <v>87</v>
      </c>
      <c r="D37" s="51" t="s">
        <v>99</v>
      </c>
      <c r="E37" s="120" t="s">
        <v>103</v>
      </c>
      <c r="F37" s="154" t="s">
        <v>86</v>
      </c>
      <c r="G37" s="337"/>
      <c r="H37" s="51" t="s">
        <v>81</v>
      </c>
      <c r="I37" s="120" t="s">
        <v>94</v>
      </c>
      <c r="J37" s="8"/>
      <c r="K37" s="8"/>
      <c r="L37" s="8"/>
      <c r="M37" s="8"/>
      <c r="N37" s="8"/>
      <c r="O37" s="8"/>
      <c r="P37" s="8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</row>
    <row r="38" spans="1:175" ht="15" customHeight="1">
      <c r="A38" s="23" t="s">
        <v>22</v>
      </c>
      <c r="B38" s="26" t="s">
        <v>23</v>
      </c>
      <c r="C38" s="51" t="s">
        <v>89</v>
      </c>
      <c r="D38" s="51" t="s">
        <v>100</v>
      </c>
      <c r="E38" s="51" t="s">
        <v>92</v>
      </c>
      <c r="F38" s="51" t="s">
        <v>72</v>
      </c>
      <c r="G38" s="337"/>
      <c r="H38" s="154" t="s">
        <v>87</v>
      </c>
      <c r="I38" s="51" t="s">
        <v>76</v>
      </c>
      <c r="J38" s="8"/>
      <c r="K38" s="8"/>
      <c r="L38" s="8"/>
      <c r="M38" s="8"/>
      <c r="N38" s="8"/>
      <c r="O38" s="8"/>
      <c r="P38" s="8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</row>
    <row r="39" spans="1:175" ht="17.25" customHeight="1">
      <c r="A39" s="23" t="s">
        <v>28</v>
      </c>
      <c r="B39" s="26" t="s">
        <v>29</v>
      </c>
      <c r="C39" s="154" t="s">
        <v>95</v>
      </c>
      <c r="D39" s="51" t="s">
        <v>93</v>
      </c>
      <c r="E39" s="51" t="s">
        <v>81</v>
      </c>
      <c r="F39" s="122" t="s">
        <v>89</v>
      </c>
      <c r="G39" s="337"/>
      <c r="H39" s="51" t="s">
        <v>94</v>
      </c>
      <c r="I39" s="51" t="s">
        <v>104</v>
      </c>
      <c r="J39" s="8"/>
      <c r="K39" s="8"/>
      <c r="L39" s="8"/>
      <c r="M39" s="8"/>
      <c r="N39" s="8"/>
      <c r="O39" s="8"/>
      <c r="P39" s="8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</row>
    <row r="40" spans="1:175" ht="15" customHeight="1">
      <c r="A40" s="23" t="s">
        <v>33</v>
      </c>
      <c r="B40" s="26" t="s">
        <v>34</v>
      </c>
      <c r="C40" s="120" t="s">
        <v>99</v>
      </c>
      <c r="D40" s="51" t="s">
        <v>94</v>
      </c>
      <c r="E40" s="154" t="s">
        <v>84</v>
      </c>
      <c r="F40" s="120" t="s">
        <v>76</v>
      </c>
      <c r="G40" s="337"/>
      <c r="H40" s="120" t="s">
        <v>102</v>
      </c>
      <c r="I40" s="122" t="s">
        <v>90</v>
      </c>
      <c r="J40" s="8"/>
      <c r="K40" s="8"/>
      <c r="L40" s="8"/>
      <c r="M40" s="8"/>
      <c r="N40" s="8"/>
      <c r="O40" s="8"/>
      <c r="P40" s="8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</row>
    <row r="41" spans="1:175" ht="15" customHeight="1">
      <c r="A41" s="24" t="s">
        <v>35</v>
      </c>
      <c r="B41" s="27" t="s">
        <v>36</v>
      </c>
      <c r="C41" s="344" t="s">
        <v>91</v>
      </c>
      <c r="D41" s="345"/>
      <c r="E41" s="154" t="s">
        <v>88</v>
      </c>
      <c r="F41" s="154" t="s">
        <v>75</v>
      </c>
      <c r="G41" s="154"/>
      <c r="H41" s="154" t="s">
        <v>89</v>
      </c>
      <c r="I41" s="154" t="s">
        <v>103</v>
      </c>
      <c r="J41" s="8"/>
      <c r="K41" s="8"/>
      <c r="L41" s="8"/>
      <c r="M41" s="8"/>
      <c r="N41" s="8"/>
      <c r="O41" s="8"/>
      <c r="P41" s="8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</row>
    <row r="42" spans="1:175" ht="15" customHeight="1">
      <c r="A42" s="13" t="s">
        <v>105</v>
      </c>
      <c r="B42" s="13"/>
      <c r="C42" s="13"/>
      <c r="D42" s="13"/>
      <c r="E42" s="13"/>
      <c r="H42" s="13"/>
      <c r="I42" s="13"/>
      <c r="J42" s="8"/>
      <c r="K42" s="8"/>
      <c r="L42" s="8"/>
      <c r="M42" s="8"/>
      <c r="N42" s="8"/>
      <c r="O42" s="8"/>
      <c r="P42" s="8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</row>
    <row r="43" spans="1:175" ht="15" customHeight="1">
      <c r="A43" s="14"/>
      <c r="B43" s="14"/>
      <c r="C43" s="14"/>
      <c r="D43" s="14"/>
      <c r="E43" s="14"/>
      <c r="F43" s="13"/>
      <c r="G43" s="64"/>
      <c r="H43" s="14"/>
      <c r="I43" s="14"/>
      <c r="J43" s="10"/>
      <c r="K43" s="10"/>
      <c r="L43" s="8"/>
      <c r="M43" s="8"/>
      <c r="N43" s="8"/>
      <c r="O43" s="8"/>
      <c r="P43" s="8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</row>
    <row r="44" spans="1:175" ht="15" customHeight="1">
      <c r="A44" s="350">
        <f>A34+1</f>
        <v>45968</v>
      </c>
      <c r="B44" s="351"/>
      <c r="C44" s="352"/>
      <c r="D44" s="352"/>
      <c r="E44" s="352"/>
      <c r="F44" s="352"/>
      <c r="G44" s="352"/>
      <c r="H44" s="352"/>
      <c r="I44" s="353"/>
      <c r="J44" s="8"/>
      <c r="K44" s="8"/>
      <c r="L44" s="8"/>
      <c r="M44" s="8"/>
      <c r="N44" s="8"/>
      <c r="O44" s="8"/>
      <c r="P44" s="8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</row>
    <row r="45" spans="1:175" ht="15" customHeight="1">
      <c r="A45" s="5" t="s">
        <v>1</v>
      </c>
      <c r="B45" s="121" t="s">
        <v>2</v>
      </c>
      <c r="C45" s="152" t="str">
        <f>C4</f>
        <v>TechCentre-1</v>
      </c>
      <c r="D45" s="112" t="str">
        <f>D4</f>
        <v>TechCentre-2</v>
      </c>
      <c r="E45" s="112" t="str">
        <f>E4</f>
        <v>Rounding-1</v>
      </c>
      <c r="F45" s="112" t="str">
        <f>F4</f>
        <v>Rounding-2</v>
      </c>
      <c r="G45" s="336"/>
      <c r="H45" s="112" t="str">
        <f>H4</f>
        <v>QC-1</v>
      </c>
      <c r="I45" s="153" t="str">
        <f>I4</f>
        <v>QC-2</v>
      </c>
      <c r="J45" s="8"/>
      <c r="K45" s="8"/>
      <c r="L45" s="8"/>
      <c r="M45" s="8"/>
      <c r="N45" s="8"/>
      <c r="O45" s="8"/>
      <c r="P45" s="8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</row>
    <row r="46" spans="1:175" ht="15" customHeight="1">
      <c r="A46" s="6" t="s">
        <v>10</v>
      </c>
      <c r="B46" s="25" t="s">
        <v>11</v>
      </c>
      <c r="C46" s="120" t="s">
        <v>72</v>
      </c>
      <c r="D46" s="120" t="s">
        <v>71</v>
      </c>
      <c r="E46" s="154" t="s">
        <v>103</v>
      </c>
      <c r="F46" s="120" t="s">
        <v>95</v>
      </c>
      <c r="G46" s="337"/>
      <c r="H46" s="120" t="s">
        <v>80</v>
      </c>
      <c r="I46" s="51" t="s">
        <v>88</v>
      </c>
      <c r="J46" s="8"/>
      <c r="K46" s="8"/>
      <c r="L46" s="8"/>
      <c r="M46" s="8"/>
      <c r="N46" s="8"/>
      <c r="O46" s="8"/>
      <c r="P46" s="8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</row>
    <row r="47" spans="1:175" ht="15" customHeight="1">
      <c r="A47" s="7" t="s">
        <v>17</v>
      </c>
      <c r="B47" s="26" t="s">
        <v>18</v>
      </c>
      <c r="C47" s="154" t="s">
        <v>102</v>
      </c>
      <c r="D47" s="51" t="s">
        <v>104</v>
      </c>
      <c r="E47" s="120" t="s">
        <v>97</v>
      </c>
      <c r="F47" s="120" t="s">
        <v>80</v>
      </c>
      <c r="G47" s="337"/>
      <c r="H47" s="51" t="s">
        <v>84</v>
      </c>
      <c r="I47" s="120" t="s">
        <v>71</v>
      </c>
      <c r="J47" s="8"/>
      <c r="K47" s="8"/>
      <c r="L47" s="8"/>
      <c r="M47" s="8"/>
      <c r="N47" s="8"/>
      <c r="O47" s="8"/>
      <c r="P47" s="8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</row>
    <row r="48" spans="1:175" ht="15" customHeight="1">
      <c r="A48" s="7" t="s">
        <v>22</v>
      </c>
      <c r="B48" s="26" t="s">
        <v>23</v>
      </c>
      <c r="C48" s="120" t="s">
        <v>80</v>
      </c>
      <c r="D48" s="120" t="s">
        <v>75</v>
      </c>
      <c r="E48" s="120" t="s">
        <v>86</v>
      </c>
      <c r="F48" s="136" t="s">
        <v>88</v>
      </c>
      <c r="G48" s="337"/>
      <c r="H48" s="51" t="s">
        <v>79</v>
      </c>
      <c r="I48" s="51" t="s">
        <v>101</v>
      </c>
      <c r="J48" s="8"/>
      <c r="K48" s="8"/>
      <c r="L48" s="8"/>
      <c r="M48" s="8"/>
      <c r="N48" s="8"/>
      <c r="O48" s="8"/>
      <c r="P48" s="8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</row>
    <row r="49" spans="1:175" ht="15" customHeight="1">
      <c r="A49" s="7" t="s">
        <v>28</v>
      </c>
      <c r="B49" s="26" t="s">
        <v>29</v>
      </c>
      <c r="C49" s="120" t="s">
        <v>89</v>
      </c>
      <c r="D49" s="51" t="s">
        <v>101</v>
      </c>
      <c r="E49" s="51" t="s">
        <v>75</v>
      </c>
      <c r="F49" s="120" t="s">
        <v>95</v>
      </c>
      <c r="G49" s="337"/>
      <c r="H49" s="120" t="s">
        <v>71</v>
      </c>
      <c r="I49" s="51" t="s">
        <v>84</v>
      </c>
      <c r="J49" s="205"/>
      <c r="K49" s="8"/>
      <c r="L49" s="8"/>
      <c r="M49" s="8"/>
      <c r="N49" s="8"/>
      <c r="O49" s="8"/>
      <c r="P49" s="8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</row>
    <row r="50" spans="1:175" ht="15" customHeight="1">
      <c r="A50" s="7" t="s">
        <v>33</v>
      </c>
      <c r="B50" s="26" t="s">
        <v>34</v>
      </c>
      <c r="C50" s="51" t="s">
        <v>97</v>
      </c>
      <c r="D50" s="122" t="s">
        <v>86</v>
      </c>
      <c r="E50" s="120" t="s">
        <v>71</v>
      </c>
      <c r="F50" s="120" t="s">
        <v>89</v>
      </c>
      <c r="G50" s="337"/>
      <c r="H50" s="51" t="s">
        <v>81</v>
      </c>
      <c r="I50" s="51" t="s">
        <v>92</v>
      </c>
      <c r="J50" s="8"/>
      <c r="K50" s="8"/>
      <c r="L50" s="8"/>
      <c r="M50" s="8"/>
      <c r="N50" s="8"/>
      <c r="O50" s="8"/>
      <c r="P50" s="8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</row>
    <row r="51" spans="1:175" ht="15" customHeight="1">
      <c r="A51" s="4" t="s">
        <v>35</v>
      </c>
      <c r="B51" s="45" t="s">
        <v>36</v>
      </c>
      <c r="C51" s="357" t="s">
        <v>91</v>
      </c>
      <c r="D51" s="357"/>
      <c r="E51" s="120" t="s">
        <v>104</v>
      </c>
      <c r="F51" s="120" t="s">
        <v>81</v>
      </c>
      <c r="G51" s="337"/>
      <c r="H51" s="51" t="s">
        <v>97</v>
      </c>
      <c r="I51" s="122" t="s">
        <v>102</v>
      </c>
      <c r="J51" s="8"/>
      <c r="K51" s="8"/>
      <c r="L51" s="8"/>
      <c r="M51" s="8"/>
      <c r="N51" s="8"/>
      <c r="O51" s="8"/>
      <c r="P51" s="8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</row>
    <row r="52" spans="1:175" ht="15" customHeight="1">
      <c r="A52" s="12"/>
      <c r="B52" s="12"/>
      <c r="C52" s="10"/>
      <c r="D52" s="10"/>
      <c r="E52" s="78"/>
      <c r="F52" s="78"/>
      <c r="G52" s="82"/>
      <c r="H52" s="78"/>
      <c r="I52" s="78"/>
      <c r="J52" s="8"/>
      <c r="K52" s="8"/>
      <c r="L52" s="8"/>
      <c r="M52" s="8"/>
      <c r="N52" s="8"/>
      <c r="O52" s="8"/>
      <c r="P52" s="8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</row>
    <row r="53" spans="1:175" ht="15">
      <c r="A53" s="10"/>
      <c r="B53" s="10"/>
      <c r="C53" s="10"/>
      <c r="D53" s="10"/>
      <c r="E53" s="10"/>
      <c r="F53" s="10"/>
      <c r="G53" s="63"/>
      <c r="H53" s="10"/>
      <c r="I53" s="10"/>
      <c r="J53" s="8"/>
      <c r="K53" s="8"/>
      <c r="L53" s="8"/>
      <c r="M53" s="8"/>
      <c r="N53" s="8"/>
      <c r="O53" s="8"/>
      <c r="P53" s="8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</row>
    <row r="54" spans="1:175" ht="15">
      <c r="A54" s="358">
        <f>A44+1</f>
        <v>45969</v>
      </c>
      <c r="B54" s="359"/>
      <c r="C54" s="359"/>
      <c r="D54" s="360"/>
      <c r="E54" s="11"/>
      <c r="F54" s="11"/>
      <c r="H54" s="113" t="s">
        <v>106</v>
      </c>
      <c r="I54" s="114">
        <f>A13</f>
        <v>45965</v>
      </c>
      <c r="J54" s="8"/>
      <c r="K54" s="8"/>
      <c r="L54" s="8"/>
      <c r="M54" s="8"/>
      <c r="N54" s="8"/>
      <c r="O54" s="8"/>
      <c r="P54" s="8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</row>
    <row r="55" spans="1:175" ht="15">
      <c r="A55" s="128" t="s">
        <v>1</v>
      </c>
      <c r="B55" s="134" t="s">
        <v>2</v>
      </c>
      <c r="C55" s="59" t="s">
        <v>3</v>
      </c>
      <c r="D55" s="55" t="s">
        <v>62</v>
      </c>
      <c r="F55" s="11"/>
      <c r="H55" s="332" t="s">
        <v>63</v>
      </c>
      <c r="I55" s="334" t="s">
        <v>64</v>
      </c>
      <c r="J55" s="8"/>
      <c r="K55" s="8"/>
      <c r="L55" s="8"/>
      <c r="M55" s="8"/>
      <c r="N55" s="8"/>
      <c r="O55" s="8"/>
      <c r="P55" s="8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</row>
    <row r="56" spans="1:175" ht="15">
      <c r="A56" s="129" t="s">
        <v>10</v>
      </c>
      <c r="B56" s="361" t="s">
        <v>65</v>
      </c>
      <c r="C56" s="193" t="s">
        <v>92</v>
      </c>
      <c r="D56" s="123" t="s">
        <v>103</v>
      </c>
      <c r="E56" s="11"/>
      <c r="F56" s="11"/>
      <c r="H56" s="333"/>
      <c r="I56" s="335"/>
      <c r="J56" s="8"/>
      <c r="K56" s="8"/>
      <c r="L56" s="8"/>
      <c r="M56" s="8"/>
      <c r="N56" s="8"/>
      <c r="O56" s="8"/>
      <c r="P56" s="8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</row>
    <row r="57" spans="1:175" ht="15">
      <c r="A57" s="130" t="s">
        <v>10</v>
      </c>
      <c r="B57" s="362"/>
      <c r="C57" s="133" t="s">
        <v>93</v>
      </c>
      <c r="D57" s="123" t="s">
        <v>79</v>
      </c>
      <c r="E57" s="11"/>
      <c r="F57" s="11"/>
      <c r="H57" s="72"/>
      <c r="I57" s="116"/>
      <c r="J57" s="8"/>
      <c r="K57" s="8"/>
      <c r="L57" s="8"/>
      <c r="M57" s="8"/>
      <c r="N57" s="8"/>
      <c r="O57" s="8"/>
      <c r="P57" s="8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</row>
    <row r="58" spans="1:175" ht="15" customHeight="1">
      <c r="A58" s="131" t="s">
        <v>17</v>
      </c>
      <c r="B58" s="348" t="s">
        <v>107</v>
      </c>
      <c r="C58" s="133" t="s">
        <v>84</v>
      </c>
      <c r="D58" s="127" t="s">
        <v>87</v>
      </c>
      <c r="F58" s="11"/>
      <c r="H58" s="118" t="s">
        <v>68</v>
      </c>
      <c r="I58" s="115" t="s">
        <v>2</v>
      </c>
      <c r="J58" s="13"/>
      <c r="K58" s="8"/>
      <c r="L58" s="8"/>
      <c r="M58" s="8"/>
      <c r="N58" s="8"/>
      <c r="O58" s="8"/>
      <c r="P58" s="8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</row>
    <row r="59" spans="1:175" ht="15">
      <c r="A59" s="132" t="s">
        <v>17</v>
      </c>
      <c r="B59" s="349"/>
      <c r="C59" s="148" t="s">
        <v>100</v>
      </c>
      <c r="D59" s="194" t="s">
        <v>90</v>
      </c>
      <c r="E59" s="11"/>
      <c r="F59" s="11"/>
      <c r="H59" s="119"/>
      <c r="I59" s="117">
        <v>0.26041666666666669</v>
      </c>
      <c r="J59" s="8"/>
      <c r="K59" s="8"/>
      <c r="L59" s="8"/>
      <c r="M59" s="8"/>
      <c r="N59" s="8"/>
      <c r="O59" s="8"/>
      <c r="P59" s="8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</row>
    <row r="60" spans="1:175" ht="15">
      <c r="A60" s="15"/>
      <c r="B60" s="15"/>
      <c r="C60" s="15"/>
      <c r="D60" s="15"/>
      <c r="E60" s="10"/>
      <c r="F60" s="67"/>
      <c r="G60" s="63"/>
      <c r="J60" s="8"/>
      <c r="K60" s="8"/>
      <c r="L60" s="8"/>
      <c r="M60" s="8"/>
      <c r="N60" s="8"/>
      <c r="O60" s="8"/>
      <c r="P60" s="8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</row>
    <row r="61" spans="1:175" ht="15">
      <c r="A61" s="15"/>
      <c r="B61" s="15"/>
      <c r="C61" s="15"/>
      <c r="D61" s="15"/>
      <c r="E61" s="10"/>
      <c r="F61" s="10"/>
      <c r="G61" s="63"/>
      <c r="H61" s="10"/>
      <c r="I61" s="10"/>
      <c r="J61" s="8"/>
      <c r="K61" s="8"/>
      <c r="L61" s="8"/>
      <c r="M61" s="8"/>
      <c r="N61" s="8"/>
      <c r="O61" s="8"/>
      <c r="P61" s="8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</row>
    <row r="62" spans="1:175" ht="15">
      <c r="A62" s="15"/>
      <c r="B62" s="15"/>
      <c r="C62" s="15"/>
      <c r="D62" s="15"/>
      <c r="E62" s="67"/>
      <c r="F62" s="10"/>
      <c r="G62" s="63"/>
      <c r="H62" s="10"/>
      <c r="I62" s="10"/>
      <c r="J62" s="8"/>
      <c r="K62" s="8"/>
      <c r="L62" s="8"/>
      <c r="M62" s="8"/>
      <c r="N62" s="8"/>
      <c r="O62" s="8"/>
      <c r="P62" s="8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</row>
    <row r="63" spans="1:175" ht="15">
      <c r="A63" s="15"/>
      <c r="B63" s="15"/>
      <c r="C63" s="15"/>
      <c r="D63" s="15"/>
      <c r="E63" s="67"/>
      <c r="F63" s="10"/>
      <c r="G63" s="63"/>
      <c r="H63" s="10"/>
      <c r="I63" s="10"/>
      <c r="J63" s="8"/>
      <c r="K63" s="8"/>
      <c r="L63" s="8"/>
      <c r="M63" s="8"/>
      <c r="N63" s="8"/>
      <c r="O63" s="8"/>
      <c r="P63" s="8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</row>
    <row r="64" spans="1:175" ht="15">
      <c r="A64" s="15"/>
      <c r="B64" s="15"/>
      <c r="C64" s="15"/>
      <c r="D64" s="135"/>
      <c r="E64" s="15"/>
      <c r="F64" s="15"/>
      <c r="G64" s="71"/>
      <c r="H64" s="67"/>
      <c r="I64" s="67"/>
      <c r="J64" s="8"/>
      <c r="K64" s="8"/>
      <c r="L64" s="8"/>
      <c r="M64" s="8"/>
      <c r="N64" s="8"/>
      <c r="O64" s="8"/>
      <c r="P64" s="8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</row>
    <row r="65" spans="1:175" ht="15">
      <c r="A65" s="15"/>
      <c r="B65" s="15"/>
      <c r="C65" s="15"/>
      <c r="D65" s="331"/>
      <c r="E65" s="67"/>
      <c r="F65" s="75"/>
      <c r="G65" s="71"/>
      <c r="H65" s="67"/>
      <c r="I65" s="67"/>
      <c r="J65" s="8"/>
      <c r="K65" s="8"/>
      <c r="L65" s="8"/>
      <c r="M65" s="8"/>
      <c r="N65" s="8"/>
      <c r="O65" s="8"/>
      <c r="P65" s="8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</row>
    <row r="66" spans="1:175" ht="12" customHeight="1">
      <c r="A66" s="15"/>
      <c r="B66" s="15"/>
      <c r="C66" s="15"/>
      <c r="D66" s="331"/>
      <c r="E66" s="67"/>
      <c r="F66" s="67"/>
      <c r="G66" s="34"/>
      <c r="H66" s="8"/>
      <c r="I66" s="8"/>
      <c r="J66" s="8"/>
      <c r="K66" s="8"/>
      <c r="L66" s="8"/>
      <c r="M66" s="8"/>
      <c r="N66" s="8"/>
      <c r="O66" s="8"/>
      <c r="P66" s="8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</row>
    <row r="67" spans="1:175" ht="12" customHeight="1">
      <c r="A67" s="11"/>
      <c r="B67" s="11"/>
      <c r="C67" s="16"/>
      <c r="D67" s="331"/>
      <c r="E67" s="67"/>
      <c r="F67" s="15"/>
      <c r="G67" s="34"/>
      <c r="H67" s="8"/>
      <c r="I67" s="8"/>
      <c r="J67" s="8"/>
      <c r="K67" s="8"/>
      <c r="L67" s="8"/>
      <c r="M67" s="8"/>
      <c r="N67" s="8"/>
      <c r="O67" s="8"/>
      <c r="P67" s="8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</row>
    <row r="68" spans="1:175" ht="12" customHeight="1">
      <c r="A68" s="11"/>
      <c r="B68" s="11"/>
      <c r="C68" s="17"/>
      <c r="D68" s="331"/>
      <c r="E68" s="67"/>
      <c r="F68" s="15"/>
      <c r="G68" s="65"/>
      <c r="H68" s="11"/>
      <c r="I68" s="11"/>
      <c r="J68" s="8"/>
      <c r="K68" s="8"/>
      <c r="L68" s="8"/>
      <c r="M68" s="8"/>
      <c r="N68" s="8"/>
      <c r="O68" s="8"/>
      <c r="P68" s="8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</row>
    <row r="69" spans="1:175" ht="12" customHeight="1">
      <c r="A69" s="11"/>
      <c r="B69" s="11"/>
      <c r="C69" s="17"/>
      <c r="D69" s="11"/>
      <c r="E69" s="11"/>
      <c r="F69" s="11"/>
      <c r="G69" s="65"/>
      <c r="H69" s="11"/>
      <c r="I69" s="11"/>
      <c r="J69" s="8"/>
      <c r="K69" s="8"/>
      <c r="L69" s="8"/>
      <c r="M69" s="8"/>
      <c r="N69" s="8"/>
      <c r="O69" s="8"/>
      <c r="P69" s="8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</row>
    <row r="70" spans="1:175" ht="12" customHeight="1">
      <c r="A70" s="11"/>
      <c r="B70" s="11"/>
      <c r="C70" s="17"/>
      <c r="D70" s="11"/>
      <c r="E70" s="11"/>
      <c r="F70" s="11"/>
      <c r="G70" s="65"/>
      <c r="H70" s="11"/>
      <c r="I70" s="11"/>
      <c r="J70" s="8"/>
      <c r="K70" s="8"/>
      <c r="L70" s="8"/>
      <c r="M70" s="8"/>
      <c r="N70" s="8"/>
      <c r="O70" s="8"/>
      <c r="P70" s="8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</row>
    <row r="71" spans="1:175" ht="12" customHeight="1">
      <c r="A71" s="11"/>
      <c r="B71" s="11"/>
      <c r="C71" s="17"/>
      <c r="D71" s="11"/>
      <c r="E71" s="11"/>
      <c r="F71" s="11"/>
      <c r="G71" s="65"/>
      <c r="H71" s="11"/>
      <c r="I71" s="11"/>
      <c r="J71" s="8"/>
      <c r="K71" s="8"/>
      <c r="L71" s="8"/>
      <c r="M71" s="8"/>
      <c r="N71" s="8"/>
      <c r="O71" s="8"/>
      <c r="P71" s="8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</row>
    <row r="72" spans="1:175" ht="12" customHeight="1">
      <c r="A72" s="11"/>
      <c r="B72" s="11"/>
      <c r="C72" s="17"/>
      <c r="D72" s="11"/>
      <c r="E72" s="11"/>
      <c r="F72" s="11"/>
      <c r="G72" s="65"/>
      <c r="H72" s="11"/>
      <c r="I72" s="11"/>
      <c r="J72" s="10"/>
      <c r="K72" s="10"/>
      <c r="L72" s="8"/>
      <c r="M72" s="8"/>
      <c r="N72" s="8"/>
      <c r="O72" s="8"/>
      <c r="P72" s="8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</row>
    <row r="73" spans="1:175" ht="7.5" customHeight="1">
      <c r="A73" s="11"/>
      <c r="B73" s="11"/>
      <c r="C73" s="17"/>
      <c r="D73" s="11"/>
      <c r="E73" s="11"/>
      <c r="F73" s="11"/>
      <c r="G73" s="65"/>
      <c r="H73" s="11"/>
      <c r="I73" s="11"/>
      <c r="J73" s="10"/>
      <c r="K73" s="10"/>
      <c r="L73" s="8"/>
      <c r="M73" s="8"/>
      <c r="N73" s="8"/>
      <c r="O73" s="8"/>
      <c r="P73" s="8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</row>
    <row r="74" spans="1:175" ht="12" customHeight="1">
      <c r="A74" s="11"/>
      <c r="B74" s="11"/>
      <c r="C74" s="17"/>
      <c r="D74" s="11"/>
      <c r="E74" s="11"/>
      <c r="F74" s="11"/>
      <c r="G74" s="65"/>
      <c r="H74" s="11"/>
      <c r="I74" s="11"/>
      <c r="J74" s="10"/>
      <c r="K74" s="10"/>
      <c r="L74" s="8"/>
      <c r="M74" s="8"/>
      <c r="N74" s="8"/>
      <c r="O74" s="8"/>
      <c r="P74" s="8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</row>
    <row r="75" spans="1:175" ht="12" customHeight="1">
      <c r="A75" s="11"/>
      <c r="B75" s="11"/>
      <c r="C75" s="17"/>
      <c r="E75" s="17"/>
      <c r="F75" s="17"/>
      <c r="G75" s="66"/>
      <c r="H75" s="17"/>
      <c r="I75" s="17"/>
      <c r="J75" s="17"/>
      <c r="K75" s="17"/>
      <c r="L75" s="8"/>
      <c r="M75" s="8"/>
      <c r="N75" s="8"/>
      <c r="O75" s="8"/>
      <c r="P75" s="8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</row>
    <row r="76" spans="1:175" ht="12" customHeight="1">
      <c r="A76" s="11"/>
      <c r="B76" s="11"/>
      <c r="C76" s="17" t="s">
        <v>108</v>
      </c>
      <c r="D76" s="17"/>
      <c r="E76" s="17"/>
      <c r="F76" s="17"/>
      <c r="G76" s="66"/>
      <c r="H76" s="17"/>
      <c r="I76" s="17"/>
      <c r="J76" s="17"/>
      <c r="K76" s="17"/>
      <c r="L76" s="8"/>
      <c r="M76" s="8"/>
      <c r="N76" s="8"/>
      <c r="O76" s="8"/>
      <c r="P76" s="8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</row>
    <row r="77" spans="1:175" ht="12" customHeight="1">
      <c r="A77" s="11"/>
      <c r="B77" s="11"/>
      <c r="C77" s="17"/>
      <c r="D77" s="17"/>
      <c r="E77" s="17"/>
      <c r="F77" s="17"/>
      <c r="G77" s="66"/>
      <c r="H77" s="17"/>
      <c r="I77" s="17"/>
      <c r="J77" s="17"/>
      <c r="K77" s="17"/>
      <c r="L77" s="8"/>
      <c r="M77" s="8"/>
      <c r="N77" s="8"/>
      <c r="O77" s="8"/>
      <c r="P77" s="8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</row>
    <row r="78" spans="1:175" ht="12" customHeight="1">
      <c r="A78" s="11"/>
      <c r="B78" s="11"/>
      <c r="C78" s="17"/>
      <c r="D78" s="17"/>
      <c r="E78" s="17"/>
      <c r="F78" s="17"/>
      <c r="G78" s="66"/>
      <c r="H78" s="17"/>
      <c r="I78" s="17"/>
      <c r="J78" s="17"/>
      <c r="K78" s="17"/>
      <c r="L78" s="8"/>
      <c r="M78" s="8"/>
      <c r="N78" s="8"/>
      <c r="O78" s="8"/>
      <c r="P78" s="8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</row>
    <row r="79" spans="1:175" ht="12" customHeight="1">
      <c r="A79" s="11"/>
      <c r="B79" s="11"/>
      <c r="C79" s="17"/>
      <c r="D79" s="17"/>
      <c r="E79" s="17"/>
      <c r="F79" s="17"/>
      <c r="G79" s="66"/>
      <c r="H79" s="17"/>
      <c r="I79" s="17"/>
      <c r="J79" s="17"/>
      <c r="K79" s="17"/>
      <c r="P79" s="8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</row>
    <row r="80" spans="1:175" ht="12" customHeight="1">
      <c r="A80" s="11"/>
      <c r="B80" s="11"/>
      <c r="C80" s="17"/>
      <c r="D80" s="17"/>
      <c r="E80" s="17"/>
      <c r="F80" s="17"/>
      <c r="G80" s="66"/>
      <c r="H80" s="17"/>
      <c r="I80" s="17"/>
      <c r="J80" s="17"/>
      <c r="K80" s="17"/>
      <c r="P80" s="8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</row>
    <row r="81" spans="1:175" ht="12" customHeight="1">
      <c r="A81" s="11"/>
      <c r="B81" s="11"/>
      <c r="C81" s="17"/>
      <c r="D81" s="17"/>
      <c r="E81" s="17"/>
      <c r="F81" s="17"/>
      <c r="G81" s="66"/>
      <c r="H81" s="17"/>
      <c r="I81" s="17"/>
      <c r="J81" s="17"/>
      <c r="K81" s="17"/>
      <c r="P81" s="8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</row>
    <row r="82" spans="1:175" ht="12" customHeight="1">
      <c r="A82" s="11"/>
      <c r="B82" s="11"/>
      <c r="C82" s="17"/>
      <c r="D82" s="17"/>
      <c r="E82" s="17"/>
      <c r="F82" s="17"/>
      <c r="G82" s="66"/>
      <c r="H82" s="17"/>
      <c r="I82" s="17"/>
      <c r="J82" s="17"/>
      <c r="K82" s="17"/>
      <c r="P82" s="8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</row>
    <row r="83" spans="1:175" ht="12" customHeight="1">
      <c r="A83" s="11"/>
      <c r="B83" s="11"/>
      <c r="C83" s="17"/>
      <c r="D83" s="17"/>
      <c r="E83" s="17"/>
      <c r="F83" s="17"/>
      <c r="G83" s="66"/>
      <c r="H83" s="17"/>
      <c r="I83" s="17"/>
      <c r="J83" s="17"/>
      <c r="K83" s="17"/>
      <c r="P83" s="8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</row>
    <row r="84" spans="1:175" ht="12" customHeight="1">
      <c r="A84" s="11"/>
      <c r="B84" s="11"/>
      <c r="C84" s="17"/>
      <c r="D84" s="17"/>
      <c r="E84" s="17"/>
      <c r="F84" s="17"/>
      <c r="G84" s="66"/>
      <c r="H84" s="17"/>
      <c r="I84" s="17"/>
      <c r="J84" s="17"/>
      <c r="K84" s="17"/>
      <c r="P84" s="8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</row>
    <row r="85" spans="1:175" ht="12" customHeight="1">
      <c r="A85" s="11"/>
      <c r="B85" s="11"/>
      <c r="C85" s="17"/>
      <c r="D85" s="17"/>
      <c r="E85" s="17"/>
      <c r="F85" s="17"/>
      <c r="G85" s="66"/>
      <c r="H85" s="17"/>
      <c r="I85" s="17"/>
      <c r="J85" s="17"/>
      <c r="K85" s="17"/>
      <c r="P85" s="8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</row>
    <row r="86" spans="1:175" ht="12" customHeight="1">
      <c r="A86" s="11"/>
      <c r="B86" s="11"/>
      <c r="C86" s="17"/>
      <c r="D86" s="17"/>
      <c r="E86" s="17"/>
      <c r="F86" s="17"/>
      <c r="G86" s="66"/>
      <c r="H86" s="17"/>
      <c r="I86" s="17"/>
      <c r="J86" s="17"/>
      <c r="K86" s="17"/>
      <c r="P86" s="8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</row>
    <row r="87" spans="1:175" ht="12" customHeight="1">
      <c r="A87" s="11"/>
      <c r="B87" s="11"/>
      <c r="C87" s="17"/>
      <c r="D87" s="17"/>
      <c r="E87" s="17"/>
      <c r="F87" s="17"/>
      <c r="G87" s="66"/>
      <c r="H87" s="17"/>
      <c r="I87" s="17"/>
      <c r="J87" s="17"/>
      <c r="K87" s="17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</row>
    <row r="88" spans="1:175" ht="12" customHeight="1">
      <c r="A88" s="2"/>
      <c r="B88" s="18"/>
      <c r="C88" s="17"/>
      <c r="D88" s="17"/>
      <c r="E88" s="17"/>
      <c r="F88" s="17"/>
      <c r="G88" s="66"/>
      <c r="H88" s="17"/>
      <c r="I88" s="17"/>
      <c r="J88" s="17"/>
      <c r="K88" s="17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</row>
    <row r="89" spans="1:175" ht="12" customHeight="1">
      <c r="A89" s="2"/>
      <c r="B89" s="18"/>
      <c r="C89" s="17"/>
      <c r="D89" s="17"/>
      <c r="E89" s="17"/>
      <c r="F89" s="17"/>
      <c r="G89" s="66"/>
      <c r="H89" s="17"/>
      <c r="I89" s="17"/>
      <c r="J89" s="17"/>
      <c r="K89" s="17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</row>
    <row r="90" spans="1:175" ht="12" customHeight="1">
      <c r="A90" s="11"/>
      <c r="B90" s="11"/>
      <c r="C90" s="17"/>
      <c r="D90" s="17"/>
      <c r="E90" s="17"/>
      <c r="F90" s="17"/>
      <c r="G90" s="66"/>
      <c r="H90" s="17"/>
      <c r="I90" s="17"/>
      <c r="J90" s="17"/>
      <c r="K90" s="17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</row>
    <row r="91" spans="1:175" ht="12" customHeight="1">
      <c r="A91" s="11"/>
      <c r="B91" s="11"/>
      <c r="C91" s="11"/>
      <c r="D91" s="17"/>
      <c r="E91" s="17"/>
      <c r="F91" s="17"/>
      <c r="G91" s="66"/>
      <c r="H91" s="17"/>
      <c r="I91" s="17"/>
      <c r="J91" s="17"/>
      <c r="K91" s="17"/>
      <c r="M91" s="8"/>
      <c r="N91" s="8"/>
      <c r="O91" s="8"/>
      <c r="P91" s="8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</row>
    <row r="92" spans="1:175" ht="12" customHeight="1">
      <c r="A92" s="11"/>
      <c r="B92" s="11"/>
      <c r="C92" s="11"/>
      <c r="D92" s="11"/>
      <c r="E92" s="11"/>
      <c r="F92" s="11"/>
      <c r="G92" s="65"/>
      <c r="H92" s="11"/>
      <c r="I92" s="11"/>
      <c r="J92" s="11"/>
      <c r="K92" s="11"/>
      <c r="M92" s="8"/>
      <c r="N92" s="8"/>
      <c r="O92" s="8"/>
      <c r="P92" s="8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</row>
    <row r="93" spans="1:175" ht="12" customHeight="1">
      <c r="A93" s="11"/>
      <c r="B93" s="11"/>
      <c r="C93" s="11"/>
      <c r="D93" s="11"/>
      <c r="E93" s="11"/>
      <c r="F93" s="11"/>
      <c r="G93" s="65"/>
      <c r="H93" s="11"/>
      <c r="I93" s="11"/>
      <c r="J93" s="11"/>
      <c r="K93" s="11"/>
      <c r="M93" s="8"/>
      <c r="N93" s="8"/>
      <c r="O93" s="8"/>
      <c r="P93" s="8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</row>
    <row r="94" spans="1:175" ht="12" customHeight="1">
      <c r="A94" s="11"/>
      <c r="B94" s="11"/>
      <c r="C94" s="11"/>
      <c r="D94" s="11"/>
      <c r="E94" s="11"/>
      <c r="F94" s="11"/>
      <c r="G94" s="65"/>
      <c r="H94" s="11"/>
      <c r="I94" s="11"/>
      <c r="J94" s="11"/>
      <c r="K94" s="11"/>
      <c r="M94" s="8"/>
      <c r="N94" s="8"/>
      <c r="O94" s="8"/>
      <c r="P94" s="8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</row>
    <row r="95" spans="1:175" ht="12" customHeight="1">
      <c r="A95" s="11"/>
      <c r="B95" s="11"/>
      <c r="C95" s="11"/>
      <c r="D95" s="11"/>
      <c r="E95" s="11"/>
      <c r="F95" s="11"/>
      <c r="G95" s="65"/>
      <c r="H95" s="11"/>
      <c r="I95" s="11"/>
      <c r="J95" s="11"/>
      <c r="K95" s="11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</row>
    <row r="96" spans="1:175" ht="12" customHeight="1">
      <c r="A96" s="11"/>
      <c r="B96" s="11"/>
      <c r="C96" s="11"/>
      <c r="D96" s="11"/>
      <c r="E96" s="11"/>
      <c r="F96" s="11"/>
      <c r="G96" s="65"/>
      <c r="H96" s="11"/>
      <c r="I96" s="11"/>
      <c r="J96" s="11"/>
      <c r="K96" s="11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</row>
    <row r="97" spans="1:175" ht="12" customHeight="1">
      <c r="A97" s="11"/>
      <c r="B97" s="11"/>
      <c r="C97" s="11"/>
      <c r="D97" s="11"/>
      <c r="E97" s="11"/>
      <c r="F97" s="11"/>
      <c r="G97" s="65"/>
      <c r="H97" s="11"/>
      <c r="I97" s="11"/>
      <c r="J97" s="11"/>
      <c r="K97" s="11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</row>
    <row r="98" spans="1:175" ht="12" customHeight="1">
      <c r="A98" s="11"/>
      <c r="B98" s="11"/>
      <c r="C98" s="11"/>
      <c r="D98" s="11"/>
      <c r="E98" s="11"/>
      <c r="F98" s="11"/>
      <c r="G98" s="65"/>
      <c r="H98" s="11"/>
      <c r="I98" s="11"/>
      <c r="J98" s="11"/>
      <c r="K98" s="11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</row>
    <row r="99" spans="1:175" ht="12" customHeight="1">
      <c r="A99" s="11"/>
      <c r="B99" s="11"/>
      <c r="C99" s="11"/>
      <c r="D99" s="11"/>
      <c r="E99" s="11"/>
      <c r="F99" s="11"/>
      <c r="G99" s="65"/>
      <c r="H99" s="11"/>
      <c r="I99" s="11"/>
      <c r="J99" s="11"/>
      <c r="K99" s="11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</row>
    <row r="100" spans="1:175" ht="12" customHeight="1">
      <c r="A100" s="11"/>
      <c r="B100" s="11"/>
      <c r="C100" s="11"/>
      <c r="D100" s="11"/>
      <c r="E100" s="11"/>
      <c r="F100" s="11"/>
      <c r="G100" s="65"/>
      <c r="H100" s="11"/>
      <c r="I100" s="11"/>
      <c r="J100" s="11"/>
      <c r="K100" s="11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</row>
    <row r="101" spans="1:175" ht="12" customHeight="1">
      <c r="A101" s="11"/>
      <c r="B101" s="11"/>
      <c r="C101" s="11"/>
      <c r="D101" s="11"/>
      <c r="E101" s="11"/>
      <c r="F101" s="11"/>
      <c r="G101" s="65"/>
      <c r="H101" s="11"/>
      <c r="I101" s="11"/>
      <c r="J101" s="11"/>
      <c r="K101" s="11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</row>
    <row r="102" spans="1:175" ht="12" customHeight="1">
      <c r="A102" s="11"/>
      <c r="B102" s="11"/>
      <c r="C102" s="11"/>
      <c r="D102" s="11"/>
      <c r="E102" s="11"/>
      <c r="F102" s="11"/>
      <c r="G102" s="65"/>
      <c r="H102" s="11"/>
      <c r="I102" s="11"/>
      <c r="J102" s="11"/>
      <c r="K102" s="11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</row>
    <row r="103" spans="1:175" ht="12" customHeight="1">
      <c r="A103" s="11"/>
      <c r="B103" s="11"/>
      <c r="C103" s="11"/>
      <c r="D103" s="11"/>
      <c r="E103" s="11"/>
      <c r="F103" s="11"/>
      <c r="G103" s="65"/>
      <c r="H103" s="11"/>
      <c r="I103" s="11"/>
      <c r="J103" s="11"/>
      <c r="K103" s="11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</row>
    <row r="104" spans="1:175" ht="12" customHeight="1">
      <c r="A104" s="11"/>
      <c r="B104" s="11"/>
      <c r="C104" s="11"/>
      <c r="D104" s="11"/>
      <c r="E104" s="11"/>
      <c r="F104" s="11"/>
      <c r="G104" s="65"/>
      <c r="H104" s="11"/>
      <c r="I104" s="11"/>
      <c r="J104" s="11"/>
      <c r="K104" s="11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</row>
    <row r="105" spans="1:175" ht="12" customHeight="1">
      <c r="A105" s="11"/>
      <c r="B105" s="11"/>
      <c r="C105" s="11"/>
      <c r="D105" s="11"/>
      <c r="E105" s="11"/>
      <c r="F105" s="11"/>
      <c r="G105" s="65"/>
      <c r="H105" s="11"/>
      <c r="I105" s="11"/>
      <c r="J105" s="11"/>
      <c r="K105" s="11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</row>
    <row r="106" spans="1:175" ht="12" customHeight="1">
      <c r="A106" s="11"/>
      <c r="B106" s="11"/>
      <c r="C106" s="11"/>
      <c r="D106" s="11"/>
      <c r="E106" s="11"/>
      <c r="F106" s="11"/>
      <c r="G106" s="65"/>
      <c r="H106" s="11"/>
      <c r="I106" s="11"/>
      <c r="J106" s="11"/>
      <c r="K106" s="11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</row>
    <row r="107" spans="1:175" ht="12" customHeight="1">
      <c r="A107" s="11"/>
      <c r="B107" s="11"/>
      <c r="C107" s="11"/>
      <c r="D107" s="11"/>
      <c r="E107" s="11"/>
      <c r="F107" s="11"/>
      <c r="G107" s="65"/>
      <c r="H107" s="11"/>
      <c r="I107" s="11"/>
      <c r="J107" s="11"/>
      <c r="K107" s="11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</row>
    <row r="108" spans="1:175" s="11" customFormat="1" ht="14.25" customHeight="1">
      <c r="G108" s="65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</row>
    <row r="109" spans="1:175" s="11" customFormat="1" ht="14.25" customHeight="1">
      <c r="G109" s="65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</row>
    <row r="110" spans="1:175" s="11" customFormat="1" ht="14.25" customHeight="1">
      <c r="G110" s="65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</row>
    <row r="111" spans="1:175" s="11" customFormat="1">
      <c r="G111" s="65"/>
    </row>
    <row r="112" spans="1:175" s="11" customFormat="1">
      <c r="G112" s="65"/>
    </row>
    <row r="113" spans="7:7" s="11" customFormat="1">
      <c r="G113" s="65"/>
    </row>
    <row r="114" spans="7:7" s="11" customFormat="1">
      <c r="G114" s="65"/>
    </row>
    <row r="115" spans="7:7" s="11" customFormat="1">
      <c r="G115" s="65"/>
    </row>
    <row r="116" spans="7:7" s="11" customFormat="1">
      <c r="G116" s="65"/>
    </row>
    <row r="117" spans="7:7" s="11" customFormat="1">
      <c r="G117" s="65"/>
    </row>
    <row r="118" spans="7:7" s="11" customFormat="1">
      <c r="G118" s="65"/>
    </row>
    <row r="119" spans="7:7" s="11" customFormat="1">
      <c r="G119" s="65"/>
    </row>
    <row r="120" spans="7:7" s="11" customFormat="1">
      <c r="G120" s="65"/>
    </row>
    <row r="121" spans="7:7" s="11" customFormat="1">
      <c r="G121" s="65"/>
    </row>
    <row r="122" spans="7:7" s="11" customFormat="1">
      <c r="G122" s="65"/>
    </row>
    <row r="123" spans="7:7" s="11" customFormat="1">
      <c r="G123" s="65"/>
    </row>
    <row r="124" spans="7:7" s="11" customFormat="1">
      <c r="G124" s="65"/>
    </row>
    <row r="125" spans="7:7" s="11" customFormat="1">
      <c r="G125" s="65"/>
    </row>
    <row r="126" spans="7:7" s="11" customFormat="1">
      <c r="G126" s="65"/>
    </row>
    <row r="127" spans="7:7" s="11" customFormat="1">
      <c r="G127" s="65"/>
    </row>
    <row r="128" spans="7:7" s="11" customFormat="1">
      <c r="G128" s="65"/>
    </row>
    <row r="129" spans="7:7" s="11" customFormat="1">
      <c r="G129" s="65"/>
    </row>
    <row r="130" spans="7:7" s="11" customFormat="1">
      <c r="G130" s="65"/>
    </row>
    <row r="131" spans="7:7" s="11" customFormat="1">
      <c r="G131" s="65"/>
    </row>
    <row r="132" spans="7:7" s="11" customFormat="1">
      <c r="G132" s="65"/>
    </row>
    <row r="133" spans="7:7" s="11" customFormat="1">
      <c r="G133" s="65"/>
    </row>
    <row r="134" spans="7:7" s="11" customFormat="1">
      <c r="G134" s="65"/>
    </row>
    <row r="135" spans="7:7" s="11" customFormat="1">
      <c r="G135" s="65"/>
    </row>
    <row r="136" spans="7:7" s="11" customFormat="1">
      <c r="G136" s="65"/>
    </row>
    <row r="137" spans="7:7" s="11" customFormat="1">
      <c r="G137" s="65"/>
    </row>
    <row r="138" spans="7:7" s="11" customFormat="1">
      <c r="G138" s="65"/>
    </row>
    <row r="139" spans="7:7" s="11" customFormat="1">
      <c r="G139" s="65"/>
    </row>
    <row r="140" spans="7:7" s="11" customFormat="1">
      <c r="G140" s="65"/>
    </row>
    <row r="141" spans="7:7" s="11" customFormat="1">
      <c r="G141" s="65"/>
    </row>
    <row r="142" spans="7:7" s="11" customFormat="1">
      <c r="G142" s="65"/>
    </row>
    <row r="143" spans="7:7" s="11" customFormat="1">
      <c r="G143" s="65"/>
    </row>
    <row r="144" spans="7:7" s="11" customFormat="1">
      <c r="G144" s="65"/>
    </row>
    <row r="145" spans="7:7" s="11" customFormat="1">
      <c r="G145" s="65"/>
    </row>
    <row r="146" spans="7:7" s="11" customFormat="1">
      <c r="G146" s="65"/>
    </row>
    <row r="147" spans="7:7" s="11" customFormat="1">
      <c r="G147" s="65"/>
    </row>
    <row r="148" spans="7:7" s="11" customFormat="1">
      <c r="G148" s="65"/>
    </row>
    <row r="149" spans="7:7" s="11" customFormat="1">
      <c r="G149" s="65"/>
    </row>
    <row r="150" spans="7:7" s="11" customFormat="1">
      <c r="G150" s="65"/>
    </row>
    <row r="151" spans="7:7" s="11" customFormat="1">
      <c r="G151" s="65"/>
    </row>
    <row r="152" spans="7:7" s="11" customFormat="1">
      <c r="G152" s="65"/>
    </row>
    <row r="153" spans="7:7" s="11" customFormat="1">
      <c r="G153" s="65"/>
    </row>
    <row r="154" spans="7:7" s="11" customFormat="1">
      <c r="G154" s="65"/>
    </row>
    <row r="155" spans="7:7" s="11" customFormat="1">
      <c r="G155" s="65"/>
    </row>
    <row r="156" spans="7:7" s="11" customFormat="1">
      <c r="G156" s="65"/>
    </row>
    <row r="157" spans="7:7" s="11" customFormat="1">
      <c r="G157" s="65"/>
    </row>
    <row r="158" spans="7:7" s="11" customFormat="1">
      <c r="G158" s="65"/>
    </row>
    <row r="159" spans="7:7" s="11" customFormat="1">
      <c r="G159" s="65"/>
    </row>
    <row r="160" spans="7:7" s="11" customFormat="1">
      <c r="G160" s="65"/>
    </row>
    <row r="161" spans="7:7" s="11" customFormat="1">
      <c r="G161" s="65"/>
    </row>
    <row r="162" spans="7:7" s="11" customFormat="1">
      <c r="G162" s="65"/>
    </row>
    <row r="163" spans="7:7" s="11" customFormat="1">
      <c r="G163" s="65"/>
    </row>
    <row r="164" spans="7:7" s="11" customFormat="1">
      <c r="G164" s="65"/>
    </row>
    <row r="165" spans="7:7" s="11" customFormat="1">
      <c r="G165" s="65"/>
    </row>
    <row r="166" spans="7:7" s="11" customFormat="1">
      <c r="G166" s="65"/>
    </row>
    <row r="167" spans="7:7" s="11" customFormat="1">
      <c r="G167" s="65"/>
    </row>
    <row r="168" spans="7:7" s="11" customFormat="1">
      <c r="G168" s="65"/>
    </row>
    <row r="169" spans="7:7" s="11" customFormat="1">
      <c r="G169" s="65"/>
    </row>
    <row r="170" spans="7:7" s="11" customFormat="1">
      <c r="G170" s="65"/>
    </row>
    <row r="171" spans="7:7" s="11" customFormat="1">
      <c r="G171" s="65"/>
    </row>
    <row r="172" spans="7:7" s="11" customFormat="1">
      <c r="G172" s="65"/>
    </row>
    <row r="173" spans="7:7" s="11" customFormat="1">
      <c r="G173" s="65"/>
    </row>
    <row r="174" spans="7:7" s="11" customFormat="1">
      <c r="G174" s="65"/>
    </row>
    <row r="175" spans="7:7" s="11" customFormat="1">
      <c r="G175" s="65"/>
    </row>
    <row r="176" spans="7:7" s="11" customFormat="1">
      <c r="G176" s="65"/>
    </row>
    <row r="177" spans="7:7" s="11" customFormat="1">
      <c r="G177" s="65"/>
    </row>
    <row r="178" spans="7:7" s="11" customFormat="1">
      <c r="G178" s="65"/>
    </row>
    <row r="179" spans="7:7" s="11" customFormat="1">
      <c r="G179" s="65"/>
    </row>
    <row r="180" spans="7:7" s="11" customFormat="1">
      <c r="G180" s="65"/>
    </row>
    <row r="181" spans="7:7" s="11" customFormat="1">
      <c r="G181" s="65"/>
    </row>
    <row r="182" spans="7:7" s="11" customFormat="1">
      <c r="G182" s="65"/>
    </row>
    <row r="183" spans="7:7" s="11" customFormat="1">
      <c r="G183" s="65"/>
    </row>
    <row r="184" spans="7:7" s="11" customFormat="1">
      <c r="G184" s="65"/>
    </row>
    <row r="185" spans="7:7" s="11" customFormat="1">
      <c r="G185" s="65"/>
    </row>
    <row r="186" spans="7:7" s="11" customFormat="1">
      <c r="G186" s="65"/>
    </row>
    <row r="187" spans="7:7" s="11" customFormat="1">
      <c r="G187" s="65"/>
    </row>
    <row r="188" spans="7:7" s="11" customFormat="1">
      <c r="G188" s="65"/>
    </row>
    <row r="189" spans="7:7" s="11" customFormat="1">
      <c r="G189" s="65"/>
    </row>
    <row r="190" spans="7:7" s="11" customFormat="1">
      <c r="G190" s="65"/>
    </row>
    <row r="191" spans="7:7" s="11" customFormat="1">
      <c r="G191" s="65"/>
    </row>
    <row r="192" spans="7:7" s="11" customFormat="1">
      <c r="G192" s="65"/>
    </row>
    <row r="193" spans="7:7" s="11" customFormat="1">
      <c r="G193" s="65"/>
    </row>
    <row r="194" spans="7:7" s="11" customFormat="1">
      <c r="G194" s="65"/>
    </row>
    <row r="195" spans="7:7" s="11" customFormat="1">
      <c r="G195" s="65"/>
    </row>
    <row r="196" spans="7:7" s="11" customFormat="1">
      <c r="G196" s="65"/>
    </row>
    <row r="197" spans="7:7" s="11" customFormat="1">
      <c r="G197" s="65"/>
    </row>
    <row r="198" spans="7:7" s="11" customFormat="1">
      <c r="G198" s="65"/>
    </row>
    <row r="199" spans="7:7" s="11" customFormat="1">
      <c r="G199" s="65"/>
    </row>
    <row r="200" spans="7:7" s="11" customFormat="1">
      <c r="G200" s="65"/>
    </row>
    <row r="201" spans="7:7" s="11" customFormat="1">
      <c r="G201" s="65"/>
    </row>
    <row r="202" spans="7:7" s="11" customFormat="1">
      <c r="G202" s="65"/>
    </row>
    <row r="203" spans="7:7" s="11" customFormat="1">
      <c r="G203" s="65"/>
    </row>
    <row r="204" spans="7:7" s="11" customFormat="1">
      <c r="G204" s="65"/>
    </row>
    <row r="205" spans="7:7" s="11" customFormat="1">
      <c r="G205" s="65"/>
    </row>
    <row r="206" spans="7:7" s="11" customFormat="1">
      <c r="G206" s="65"/>
    </row>
    <row r="207" spans="7:7" s="11" customFormat="1">
      <c r="G207" s="65"/>
    </row>
    <row r="208" spans="7:7" s="11" customFormat="1">
      <c r="G208" s="65"/>
    </row>
    <row r="209" spans="7:7" s="11" customFormat="1">
      <c r="G209" s="65"/>
    </row>
    <row r="210" spans="7:7" s="11" customFormat="1">
      <c r="G210" s="65"/>
    </row>
    <row r="211" spans="7:7" s="11" customFormat="1">
      <c r="G211" s="65"/>
    </row>
    <row r="212" spans="7:7" s="11" customFormat="1">
      <c r="G212" s="65"/>
    </row>
    <row r="213" spans="7:7" s="11" customFormat="1">
      <c r="G213" s="65"/>
    </row>
    <row r="214" spans="7:7" s="11" customFormat="1">
      <c r="G214" s="65"/>
    </row>
    <row r="215" spans="7:7" s="11" customFormat="1">
      <c r="G215" s="65"/>
    </row>
    <row r="216" spans="7:7" s="11" customFormat="1">
      <c r="G216" s="65"/>
    </row>
    <row r="217" spans="7:7" s="11" customFormat="1">
      <c r="G217" s="65"/>
    </row>
    <row r="218" spans="7:7" s="11" customFormat="1">
      <c r="G218" s="65"/>
    </row>
    <row r="219" spans="7:7" s="11" customFormat="1">
      <c r="G219" s="65"/>
    </row>
    <row r="220" spans="7:7" s="11" customFormat="1">
      <c r="G220" s="65"/>
    </row>
    <row r="221" spans="7:7" s="11" customFormat="1">
      <c r="G221" s="65"/>
    </row>
    <row r="222" spans="7:7" s="11" customFormat="1">
      <c r="G222" s="65"/>
    </row>
    <row r="223" spans="7:7" s="11" customFormat="1">
      <c r="G223" s="65"/>
    </row>
    <row r="224" spans="7:7" s="11" customFormat="1">
      <c r="G224" s="65"/>
    </row>
    <row r="225" spans="7:7" s="11" customFormat="1">
      <c r="G225" s="65"/>
    </row>
    <row r="226" spans="7:7" s="11" customFormat="1">
      <c r="G226" s="65"/>
    </row>
    <row r="227" spans="7:7" s="11" customFormat="1">
      <c r="G227" s="65"/>
    </row>
    <row r="228" spans="7:7" s="11" customFormat="1">
      <c r="G228" s="65"/>
    </row>
    <row r="229" spans="7:7" s="11" customFormat="1">
      <c r="G229" s="65"/>
    </row>
    <row r="230" spans="7:7" s="11" customFormat="1">
      <c r="G230" s="65"/>
    </row>
    <row r="231" spans="7:7" s="11" customFormat="1">
      <c r="G231" s="65"/>
    </row>
    <row r="232" spans="7:7" s="11" customFormat="1">
      <c r="G232" s="65"/>
    </row>
    <row r="233" spans="7:7" s="11" customFormat="1">
      <c r="G233" s="65"/>
    </row>
    <row r="234" spans="7:7" s="11" customFormat="1">
      <c r="G234" s="65"/>
    </row>
    <row r="235" spans="7:7" s="11" customFormat="1">
      <c r="G235" s="65"/>
    </row>
    <row r="236" spans="7:7" s="11" customFormat="1">
      <c r="G236" s="65"/>
    </row>
    <row r="237" spans="7:7" s="11" customFormat="1">
      <c r="G237" s="65"/>
    </row>
    <row r="238" spans="7:7" s="11" customFormat="1">
      <c r="G238" s="65"/>
    </row>
    <row r="239" spans="7:7" s="11" customFormat="1">
      <c r="G239" s="65"/>
    </row>
    <row r="240" spans="7:7" s="11" customFormat="1">
      <c r="G240" s="65"/>
    </row>
    <row r="241" spans="7:7" s="11" customFormat="1">
      <c r="G241" s="65"/>
    </row>
    <row r="242" spans="7:7" s="11" customFormat="1">
      <c r="G242" s="65"/>
    </row>
    <row r="243" spans="7:7" s="11" customFormat="1">
      <c r="G243" s="65"/>
    </row>
    <row r="244" spans="7:7" s="11" customFormat="1">
      <c r="G244" s="65"/>
    </row>
    <row r="245" spans="7:7" s="11" customFormat="1">
      <c r="G245" s="65"/>
    </row>
    <row r="246" spans="7:7" s="11" customFormat="1">
      <c r="G246" s="65"/>
    </row>
    <row r="247" spans="7:7" s="11" customFormat="1">
      <c r="G247" s="65"/>
    </row>
    <row r="248" spans="7:7" s="11" customFormat="1">
      <c r="G248" s="65"/>
    </row>
    <row r="249" spans="7:7" s="11" customFormat="1">
      <c r="G249" s="65"/>
    </row>
    <row r="250" spans="7:7" s="11" customFormat="1">
      <c r="G250" s="65"/>
    </row>
    <row r="251" spans="7:7" s="11" customFormat="1">
      <c r="G251" s="65"/>
    </row>
    <row r="252" spans="7:7" s="11" customFormat="1">
      <c r="G252" s="65"/>
    </row>
    <row r="253" spans="7:7" s="11" customFormat="1">
      <c r="G253" s="65"/>
    </row>
    <row r="254" spans="7:7" s="11" customFormat="1">
      <c r="G254" s="65"/>
    </row>
    <row r="255" spans="7:7" s="11" customFormat="1">
      <c r="G255" s="65"/>
    </row>
    <row r="256" spans="7:7" s="11" customFormat="1">
      <c r="G256" s="65"/>
    </row>
    <row r="257" spans="7:7" s="11" customFormat="1">
      <c r="G257" s="65"/>
    </row>
    <row r="258" spans="7:7" s="11" customFormat="1">
      <c r="G258" s="65"/>
    </row>
    <row r="259" spans="7:7" s="11" customFormat="1">
      <c r="G259" s="65"/>
    </row>
    <row r="260" spans="7:7" s="11" customFormat="1">
      <c r="G260" s="65"/>
    </row>
    <row r="261" spans="7:7" s="11" customFormat="1">
      <c r="G261" s="65"/>
    </row>
    <row r="262" spans="7:7" s="11" customFormat="1">
      <c r="G262" s="65"/>
    </row>
    <row r="263" spans="7:7" s="11" customFormat="1">
      <c r="G263" s="65"/>
    </row>
    <row r="264" spans="7:7" s="11" customFormat="1">
      <c r="G264" s="65"/>
    </row>
    <row r="265" spans="7:7" s="11" customFormat="1">
      <c r="G265" s="65"/>
    </row>
    <row r="266" spans="7:7" s="11" customFormat="1">
      <c r="G266" s="65"/>
    </row>
    <row r="267" spans="7:7" s="11" customFormat="1">
      <c r="G267" s="65"/>
    </row>
    <row r="268" spans="7:7" s="11" customFormat="1">
      <c r="G268" s="65"/>
    </row>
    <row r="269" spans="7:7" s="11" customFormat="1">
      <c r="G269" s="65"/>
    </row>
    <row r="270" spans="7:7" s="11" customFormat="1">
      <c r="G270" s="65"/>
    </row>
    <row r="271" spans="7:7" s="11" customFormat="1">
      <c r="G271" s="65"/>
    </row>
    <row r="272" spans="7:7" s="11" customFormat="1">
      <c r="G272" s="65"/>
    </row>
    <row r="273" spans="7:7" s="11" customFormat="1">
      <c r="G273" s="65"/>
    </row>
    <row r="274" spans="7:7" s="11" customFormat="1">
      <c r="G274" s="65"/>
    </row>
    <row r="275" spans="7:7" s="11" customFormat="1">
      <c r="G275" s="65"/>
    </row>
    <row r="276" spans="7:7" s="11" customFormat="1">
      <c r="G276" s="65"/>
    </row>
    <row r="277" spans="7:7" s="11" customFormat="1">
      <c r="G277" s="65"/>
    </row>
    <row r="278" spans="7:7" s="11" customFormat="1">
      <c r="G278" s="65"/>
    </row>
    <row r="279" spans="7:7" s="11" customFormat="1">
      <c r="G279" s="65"/>
    </row>
    <row r="280" spans="7:7" s="11" customFormat="1">
      <c r="G280" s="65"/>
    </row>
    <row r="281" spans="7:7" s="11" customFormat="1">
      <c r="G281" s="65"/>
    </row>
    <row r="282" spans="7:7" s="11" customFormat="1">
      <c r="G282" s="65"/>
    </row>
    <row r="283" spans="7:7" s="11" customFormat="1">
      <c r="G283" s="65"/>
    </row>
    <row r="284" spans="7:7" s="11" customFormat="1">
      <c r="G284" s="65"/>
    </row>
    <row r="285" spans="7:7" s="11" customFormat="1">
      <c r="G285" s="65"/>
    </row>
    <row r="286" spans="7:7" s="11" customFormat="1">
      <c r="G286" s="65"/>
    </row>
    <row r="287" spans="7:7" s="11" customFormat="1">
      <c r="G287" s="65"/>
    </row>
    <row r="288" spans="7:7" s="11" customFormat="1">
      <c r="G288" s="65"/>
    </row>
    <row r="289" spans="7:7" s="11" customFormat="1">
      <c r="G289" s="65"/>
    </row>
    <row r="290" spans="7:7" s="11" customFormat="1">
      <c r="G290" s="65"/>
    </row>
    <row r="291" spans="7:7" s="11" customFormat="1">
      <c r="G291" s="65"/>
    </row>
    <row r="292" spans="7:7" s="11" customFormat="1">
      <c r="G292" s="65"/>
    </row>
    <row r="293" spans="7:7" s="11" customFormat="1">
      <c r="G293" s="65"/>
    </row>
    <row r="294" spans="7:7" s="11" customFormat="1">
      <c r="G294" s="65"/>
    </row>
    <row r="295" spans="7:7" s="11" customFormat="1">
      <c r="G295" s="65"/>
    </row>
    <row r="296" spans="7:7" s="11" customFormat="1">
      <c r="G296" s="65"/>
    </row>
    <row r="297" spans="7:7" s="11" customFormat="1">
      <c r="G297" s="65"/>
    </row>
    <row r="298" spans="7:7" s="11" customFormat="1">
      <c r="G298" s="65"/>
    </row>
    <row r="299" spans="7:7" s="11" customFormat="1">
      <c r="G299" s="65"/>
    </row>
    <row r="300" spans="7:7" s="11" customFormat="1">
      <c r="G300" s="65"/>
    </row>
    <row r="301" spans="7:7" s="11" customFormat="1">
      <c r="G301" s="65"/>
    </row>
    <row r="302" spans="7:7" s="11" customFormat="1">
      <c r="G302" s="65"/>
    </row>
    <row r="303" spans="7:7" s="11" customFormat="1">
      <c r="G303" s="65"/>
    </row>
    <row r="304" spans="7:7" s="11" customFormat="1">
      <c r="G304" s="65"/>
    </row>
    <row r="305" spans="7:7" s="11" customFormat="1">
      <c r="G305" s="65"/>
    </row>
    <row r="306" spans="7:7" s="11" customFormat="1">
      <c r="G306" s="65"/>
    </row>
    <row r="307" spans="7:7" s="11" customFormat="1">
      <c r="G307" s="65"/>
    </row>
    <row r="308" spans="7:7" s="11" customFormat="1">
      <c r="G308" s="65"/>
    </row>
    <row r="309" spans="7:7" s="11" customFormat="1">
      <c r="G309" s="65"/>
    </row>
    <row r="310" spans="7:7" s="11" customFormat="1">
      <c r="G310" s="65"/>
    </row>
    <row r="311" spans="7:7" s="11" customFormat="1">
      <c r="G311" s="65"/>
    </row>
    <row r="312" spans="7:7" s="11" customFormat="1">
      <c r="G312" s="65"/>
    </row>
    <row r="313" spans="7:7" s="11" customFormat="1">
      <c r="G313" s="65"/>
    </row>
    <row r="314" spans="7:7" s="11" customFormat="1">
      <c r="G314" s="65"/>
    </row>
    <row r="315" spans="7:7" s="11" customFormat="1">
      <c r="G315" s="65"/>
    </row>
    <row r="316" spans="7:7" s="11" customFormat="1">
      <c r="G316" s="65"/>
    </row>
    <row r="317" spans="7:7" s="11" customFormat="1">
      <c r="G317" s="65"/>
    </row>
    <row r="318" spans="7:7" s="11" customFormat="1">
      <c r="G318" s="65"/>
    </row>
    <row r="319" spans="7:7" s="11" customFormat="1">
      <c r="G319" s="65"/>
    </row>
    <row r="320" spans="7:7" s="11" customFormat="1">
      <c r="G320" s="65"/>
    </row>
    <row r="321" spans="7:7" s="11" customFormat="1">
      <c r="G321" s="65"/>
    </row>
    <row r="322" spans="7:7" s="11" customFormat="1">
      <c r="G322" s="65"/>
    </row>
    <row r="323" spans="7:7" s="11" customFormat="1">
      <c r="G323" s="65"/>
    </row>
    <row r="324" spans="7:7" s="11" customFormat="1">
      <c r="G324" s="65"/>
    </row>
    <row r="325" spans="7:7" s="11" customFormat="1">
      <c r="G325" s="65"/>
    </row>
    <row r="326" spans="7:7" s="11" customFormat="1">
      <c r="G326" s="65"/>
    </row>
    <row r="327" spans="7:7" s="11" customFormat="1">
      <c r="G327" s="65"/>
    </row>
    <row r="328" spans="7:7" s="11" customFormat="1">
      <c r="G328" s="65"/>
    </row>
    <row r="329" spans="7:7" s="11" customFormat="1">
      <c r="G329" s="65"/>
    </row>
    <row r="330" spans="7:7" s="11" customFormat="1">
      <c r="G330" s="65"/>
    </row>
    <row r="331" spans="7:7" s="11" customFormat="1">
      <c r="G331" s="65"/>
    </row>
    <row r="332" spans="7:7" s="11" customFormat="1">
      <c r="G332" s="65"/>
    </row>
    <row r="333" spans="7:7" s="11" customFormat="1">
      <c r="G333" s="65"/>
    </row>
    <row r="334" spans="7:7" s="11" customFormat="1">
      <c r="G334" s="65"/>
    </row>
    <row r="335" spans="7:7" s="11" customFormat="1">
      <c r="G335" s="65"/>
    </row>
    <row r="336" spans="7:7" s="11" customFormat="1">
      <c r="G336" s="65"/>
    </row>
    <row r="337" spans="7:7" s="11" customFormat="1">
      <c r="G337" s="65"/>
    </row>
    <row r="338" spans="7:7" s="11" customFormat="1">
      <c r="G338" s="65"/>
    </row>
    <row r="339" spans="7:7" s="11" customFormat="1">
      <c r="G339" s="65"/>
    </row>
    <row r="340" spans="7:7" s="11" customFormat="1">
      <c r="G340" s="65"/>
    </row>
    <row r="341" spans="7:7" s="11" customFormat="1">
      <c r="G341" s="65"/>
    </row>
    <row r="342" spans="7:7" s="11" customFormat="1">
      <c r="G342" s="65"/>
    </row>
    <row r="343" spans="7:7" s="11" customFormat="1">
      <c r="G343" s="65"/>
    </row>
    <row r="344" spans="7:7" s="11" customFormat="1">
      <c r="G344" s="65"/>
    </row>
    <row r="345" spans="7:7" s="11" customFormat="1">
      <c r="G345" s="65"/>
    </row>
    <row r="346" spans="7:7" s="11" customFormat="1">
      <c r="G346" s="65"/>
    </row>
    <row r="347" spans="7:7" s="11" customFormat="1">
      <c r="G347" s="65"/>
    </row>
    <row r="348" spans="7:7" s="11" customFormat="1">
      <c r="G348" s="65"/>
    </row>
    <row r="349" spans="7:7" s="11" customFormat="1">
      <c r="G349" s="65"/>
    </row>
    <row r="350" spans="7:7" s="11" customFormat="1">
      <c r="G350" s="65"/>
    </row>
    <row r="351" spans="7:7" s="11" customFormat="1">
      <c r="G351" s="65"/>
    </row>
    <row r="352" spans="7:7" s="11" customFormat="1">
      <c r="G352" s="65"/>
    </row>
    <row r="353" spans="7:7" s="11" customFormat="1">
      <c r="G353" s="65"/>
    </row>
    <row r="354" spans="7:7" s="11" customFormat="1">
      <c r="G354" s="65"/>
    </row>
    <row r="355" spans="7:7" s="11" customFormat="1">
      <c r="G355" s="65"/>
    </row>
    <row r="356" spans="7:7" s="11" customFormat="1">
      <c r="G356" s="65"/>
    </row>
    <row r="357" spans="7:7" s="11" customFormat="1">
      <c r="G357" s="65"/>
    </row>
    <row r="358" spans="7:7" s="11" customFormat="1">
      <c r="G358" s="65"/>
    </row>
    <row r="359" spans="7:7" s="11" customFormat="1">
      <c r="G359" s="65"/>
    </row>
    <row r="360" spans="7:7" s="11" customFormat="1">
      <c r="G360" s="65"/>
    </row>
    <row r="361" spans="7:7" s="11" customFormat="1">
      <c r="G361" s="65"/>
    </row>
    <row r="362" spans="7:7" s="11" customFormat="1">
      <c r="G362" s="65"/>
    </row>
    <row r="363" spans="7:7" s="11" customFormat="1">
      <c r="G363" s="65"/>
    </row>
    <row r="364" spans="7:7" s="11" customFormat="1">
      <c r="G364" s="65"/>
    </row>
    <row r="365" spans="7:7" s="11" customFormat="1">
      <c r="G365" s="65"/>
    </row>
    <row r="366" spans="7:7" s="11" customFormat="1">
      <c r="G366" s="65"/>
    </row>
    <row r="367" spans="7:7" s="11" customFormat="1">
      <c r="G367" s="65"/>
    </row>
    <row r="368" spans="7:7" s="11" customFormat="1">
      <c r="G368" s="65"/>
    </row>
    <row r="369" spans="7:7" s="11" customFormat="1">
      <c r="G369" s="65"/>
    </row>
    <row r="370" spans="7:7" s="11" customFormat="1">
      <c r="G370" s="65"/>
    </row>
    <row r="371" spans="7:7" s="11" customFormat="1">
      <c r="G371" s="65"/>
    </row>
    <row r="372" spans="7:7" s="11" customFormat="1">
      <c r="G372" s="65"/>
    </row>
    <row r="373" spans="7:7" s="11" customFormat="1">
      <c r="G373" s="65"/>
    </row>
    <row r="374" spans="7:7" s="11" customFormat="1">
      <c r="G374" s="65"/>
    </row>
    <row r="375" spans="7:7" s="11" customFormat="1">
      <c r="G375" s="65"/>
    </row>
    <row r="376" spans="7:7" s="11" customFormat="1">
      <c r="G376" s="65"/>
    </row>
    <row r="377" spans="7:7" s="11" customFormat="1">
      <c r="G377" s="65"/>
    </row>
    <row r="378" spans="7:7" s="11" customFormat="1">
      <c r="G378" s="65"/>
    </row>
    <row r="379" spans="7:7" s="11" customFormat="1">
      <c r="G379" s="65"/>
    </row>
    <row r="380" spans="7:7" s="11" customFormat="1">
      <c r="G380" s="65"/>
    </row>
    <row r="381" spans="7:7" s="11" customFormat="1">
      <c r="G381" s="65"/>
    </row>
    <row r="382" spans="7:7" s="11" customFormat="1">
      <c r="G382" s="65"/>
    </row>
    <row r="383" spans="7:7" s="11" customFormat="1">
      <c r="G383" s="65"/>
    </row>
    <row r="384" spans="7:7" s="11" customFormat="1">
      <c r="G384" s="65"/>
    </row>
    <row r="385" spans="7:7" s="11" customFormat="1">
      <c r="G385" s="65"/>
    </row>
    <row r="386" spans="7:7" s="11" customFormat="1">
      <c r="G386" s="65"/>
    </row>
    <row r="387" spans="7:7" s="11" customFormat="1">
      <c r="G387" s="65"/>
    </row>
    <row r="388" spans="7:7" s="11" customFormat="1">
      <c r="G388" s="65"/>
    </row>
    <row r="389" spans="7:7" s="11" customFormat="1">
      <c r="G389" s="65"/>
    </row>
    <row r="390" spans="7:7" s="11" customFormat="1">
      <c r="G390" s="65"/>
    </row>
    <row r="391" spans="7:7" s="11" customFormat="1">
      <c r="G391" s="65"/>
    </row>
    <row r="392" spans="7:7" s="11" customFormat="1">
      <c r="G392" s="65"/>
    </row>
    <row r="393" spans="7:7" s="11" customFormat="1">
      <c r="G393" s="65"/>
    </row>
    <row r="394" spans="7:7" s="11" customFormat="1">
      <c r="G394" s="65"/>
    </row>
    <row r="395" spans="7:7" s="11" customFormat="1">
      <c r="G395" s="65"/>
    </row>
    <row r="396" spans="7:7" s="11" customFormat="1">
      <c r="G396" s="65"/>
    </row>
    <row r="397" spans="7:7" s="11" customFormat="1">
      <c r="G397" s="65"/>
    </row>
    <row r="398" spans="7:7" s="11" customFormat="1">
      <c r="G398" s="65"/>
    </row>
    <row r="399" spans="7:7" s="11" customFormat="1">
      <c r="G399" s="65"/>
    </row>
    <row r="400" spans="7:7" s="11" customFormat="1">
      <c r="G400" s="65"/>
    </row>
    <row r="401" spans="7:7" s="11" customFormat="1">
      <c r="G401" s="65"/>
    </row>
    <row r="402" spans="7:7" s="11" customFormat="1">
      <c r="G402" s="65"/>
    </row>
    <row r="403" spans="7:7" s="11" customFormat="1">
      <c r="G403" s="65"/>
    </row>
    <row r="404" spans="7:7" s="11" customFormat="1">
      <c r="G404" s="65"/>
    </row>
    <row r="405" spans="7:7" s="11" customFormat="1">
      <c r="G405" s="65"/>
    </row>
    <row r="406" spans="7:7" s="11" customFormat="1">
      <c r="G406" s="65"/>
    </row>
    <row r="407" spans="7:7" s="11" customFormat="1">
      <c r="G407" s="65"/>
    </row>
    <row r="408" spans="7:7" s="11" customFormat="1">
      <c r="G408" s="65"/>
    </row>
    <row r="409" spans="7:7" s="11" customFormat="1">
      <c r="G409" s="65"/>
    </row>
    <row r="410" spans="7:7" s="11" customFormat="1">
      <c r="G410" s="65"/>
    </row>
    <row r="411" spans="7:7" s="11" customFormat="1">
      <c r="G411" s="65"/>
    </row>
    <row r="412" spans="7:7" s="11" customFormat="1">
      <c r="G412" s="65"/>
    </row>
    <row r="413" spans="7:7" s="11" customFormat="1">
      <c r="G413" s="65"/>
    </row>
    <row r="414" spans="7:7" s="11" customFormat="1">
      <c r="G414" s="65"/>
    </row>
    <row r="415" spans="7:7" s="11" customFormat="1">
      <c r="G415" s="65"/>
    </row>
    <row r="416" spans="7:7" s="11" customFormat="1">
      <c r="G416" s="65"/>
    </row>
    <row r="417" spans="7:7" s="11" customFormat="1">
      <c r="G417" s="65"/>
    </row>
    <row r="418" spans="7:7" s="11" customFormat="1">
      <c r="G418" s="65"/>
    </row>
    <row r="419" spans="7:7" s="11" customFormat="1">
      <c r="G419" s="65"/>
    </row>
    <row r="420" spans="7:7" s="11" customFormat="1">
      <c r="G420" s="65"/>
    </row>
    <row r="421" spans="7:7" s="11" customFormat="1">
      <c r="G421" s="65"/>
    </row>
    <row r="422" spans="7:7" s="11" customFormat="1">
      <c r="G422" s="65"/>
    </row>
    <row r="423" spans="7:7" s="11" customFormat="1">
      <c r="G423" s="65"/>
    </row>
    <row r="424" spans="7:7" s="11" customFormat="1">
      <c r="G424" s="65"/>
    </row>
    <row r="425" spans="7:7" s="11" customFormat="1">
      <c r="G425" s="65"/>
    </row>
    <row r="426" spans="7:7" s="11" customFormat="1">
      <c r="G426" s="65"/>
    </row>
    <row r="427" spans="7:7" s="11" customFormat="1">
      <c r="G427" s="65"/>
    </row>
    <row r="428" spans="7:7" s="11" customFormat="1">
      <c r="G428" s="65"/>
    </row>
    <row r="429" spans="7:7" s="11" customFormat="1">
      <c r="G429" s="65"/>
    </row>
    <row r="430" spans="7:7" s="11" customFormat="1">
      <c r="G430" s="65"/>
    </row>
    <row r="431" spans="7:7" s="11" customFormat="1">
      <c r="G431" s="65"/>
    </row>
    <row r="432" spans="7:7" s="11" customFormat="1">
      <c r="G432" s="65"/>
    </row>
    <row r="433" spans="7:7" s="11" customFormat="1">
      <c r="G433" s="65"/>
    </row>
    <row r="434" spans="7:7" s="11" customFormat="1">
      <c r="G434" s="65"/>
    </row>
    <row r="435" spans="7:7" s="11" customFormat="1">
      <c r="G435" s="65"/>
    </row>
    <row r="436" spans="7:7" s="11" customFormat="1">
      <c r="G436" s="65"/>
    </row>
    <row r="437" spans="7:7" s="11" customFormat="1">
      <c r="G437" s="65"/>
    </row>
    <row r="438" spans="7:7" s="11" customFormat="1">
      <c r="G438" s="65"/>
    </row>
    <row r="439" spans="7:7" s="11" customFormat="1">
      <c r="G439" s="65"/>
    </row>
    <row r="440" spans="7:7" s="11" customFormat="1">
      <c r="G440" s="65"/>
    </row>
    <row r="441" spans="7:7" s="11" customFormat="1">
      <c r="G441" s="65"/>
    </row>
    <row r="442" spans="7:7" s="11" customFormat="1">
      <c r="G442" s="65"/>
    </row>
    <row r="443" spans="7:7" s="11" customFormat="1">
      <c r="G443" s="65"/>
    </row>
    <row r="444" spans="7:7" s="11" customFormat="1">
      <c r="G444" s="65"/>
    </row>
    <row r="445" spans="7:7" s="11" customFormat="1">
      <c r="G445" s="65"/>
    </row>
    <row r="446" spans="7:7" s="11" customFormat="1">
      <c r="G446" s="65"/>
    </row>
    <row r="447" spans="7:7" s="11" customFormat="1">
      <c r="G447" s="65"/>
    </row>
    <row r="448" spans="7:7" s="11" customFormat="1">
      <c r="G448" s="65"/>
    </row>
    <row r="449" spans="7:7" s="11" customFormat="1">
      <c r="G449" s="65"/>
    </row>
    <row r="450" spans="7:7" s="11" customFormat="1">
      <c r="G450" s="65"/>
    </row>
    <row r="451" spans="7:7" s="11" customFormat="1">
      <c r="G451" s="65"/>
    </row>
    <row r="452" spans="7:7" s="11" customFormat="1">
      <c r="G452" s="65"/>
    </row>
    <row r="453" spans="7:7" s="11" customFormat="1">
      <c r="G453" s="65"/>
    </row>
    <row r="454" spans="7:7" s="11" customFormat="1">
      <c r="G454" s="65"/>
    </row>
    <row r="455" spans="7:7" s="11" customFormat="1">
      <c r="G455" s="65"/>
    </row>
    <row r="456" spans="7:7" s="11" customFormat="1">
      <c r="G456" s="65"/>
    </row>
    <row r="457" spans="7:7" s="11" customFormat="1">
      <c r="G457" s="65"/>
    </row>
    <row r="458" spans="7:7" s="11" customFormat="1">
      <c r="G458" s="65"/>
    </row>
    <row r="459" spans="7:7" s="11" customFormat="1">
      <c r="G459" s="65"/>
    </row>
    <row r="460" spans="7:7" s="11" customFormat="1">
      <c r="G460" s="65"/>
    </row>
    <row r="461" spans="7:7" s="11" customFormat="1">
      <c r="G461" s="65"/>
    </row>
    <row r="462" spans="7:7" s="11" customFormat="1">
      <c r="G462" s="65"/>
    </row>
    <row r="463" spans="7:7" s="11" customFormat="1">
      <c r="G463" s="65"/>
    </row>
    <row r="464" spans="7:7" s="11" customFormat="1">
      <c r="G464" s="65"/>
    </row>
    <row r="465" spans="7:7" s="11" customFormat="1">
      <c r="G465" s="65"/>
    </row>
    <row r="466" spans="7:7" s="11" customFormat="1">
      <c r="G466" s="65"/>
    </row>
    <row r="467" spans="7:7" s="11" customFormat="1">
      <c r="G467" s="65"/>
    </row>
    <row r="468" spans="7:7" s="11" customFormat="1">
      <c r="G468" s="65"/>
    </row>
    <row r="469" spans="7:7" s="11" customFormat="1">
      <c r="G469" s="65"/>
    </row>
    <row r="470" spans="7:7" s="11" customFormat="1">
      <c r="G470" s="65"/>
    </row>
    <row r="471" spans="7:7" s="11" customFormat="1">
      <c r="G471" s="65"/>
    </row>
    <row r="472" spans="7:7" s="11" customFormat="1">
      <c r="G472" s="65"/>
    </row>
    <row r="473" spans="7:7" s="11" customFormat="1">
      <c r="G473" s="65"/>
    </row>
    <row r="474" spans="7:7" s="11" customFormat="1">
      <c r="G474" s="65"/>
    </row>
    <row r="475" spans="7:7" s="11" customFormat="1">
      <c r="G475" s="65"/>
    </row>
    <row r="476" spans="7:7" s="11" customFormat="1">
      <c r="G476" s="65"/>
    </row>
    <row r="477" spans="7:7" s="11" customFormat="1">
      <c r="G477" s="65"/>
    </row>
    <row r="478" spans="7:7" s="11" customFormat="1">
      <c r="G478" s="65"/>
    </row>
    <row r="479" spans="7:7" s="11" customFormat="1">
      <c r="G479" s="65"/>
    </row>
    <row r="480" spans="7:7" s="11" customFormat="1">
      <c r="G480" s="65"/>
    </row>
    <row r="481" spans="7:7" s="11" customFormat="1">
      <c r="G481" s="65"/>
    </row>
    <row r="482" spans="7:7" s="11" customFormat="1">
      <c r="G482" s="65"/>
    </row>
    <row r="483" spans="7:7" s="11" customFormat="1">
      <c r="G483" s="65"/>
    </row>
    <row r="484" spans="7:7" s="11" customFormat="1">
      <c r="G484" s="65"/>
    </row>
    <row r="485" spans="7:7" s="11" customFormat="1">
      <c r="G485" s="65"/>
    </row>
    <row r="486" spans="7:7" s="11" customFormat="1">
      <c r="G486" s="65"/>
    </row>
    <row r="487" spans="7:7" s="11" customFormat="1">
      <c r="G487" s="65"/>
    </row>
    <row r="488" spans="7:7" s="11" customFormat="1">
      <c r="G488" s="65"/>
    </row>
    <row r="489" spans="7:7" s="11" customFormat="1">
      <c r="G489" s="65"/>
    </row>
    <row r="490" spans="7:7" s="11" customFormat="1">
      <c r="G490" s="65"/>
    </row>
    <row r="491" spans="7:7" s="11" customFormat="1">
      <c r="G491" s="65"/>
    </row>
    <row r="492" spans="7:7" s="11" customFormat="1">
      <c r="G492" s="65"/>
    </row>
    <row r="493" spans="7:7" s="11" customFormat="1">
      <c r="G493" s="65"/>
    </row>
    <row r="494" spans="7:7" s="11" customFormat="1">
      <c r="G494" s="65"/>
    </row>
    <row r="495" spans="7:7" s="11" customFormat="1">
      <c r="G495" s="65"/>
    </row>
    <row r="496" spans="7:7" s="11" customFormat="1">
      <c r="G496" s="65"/>
    </row>
    <row r="497" spans="7:7" s="11" customFormat="1">
      <c r="G497" s="65"/>
    </row>
    <row r="498" spans="7:7" s="11" customFormat="1">
      <c r="G498" s="65"/>
    </row>
    <row r="499" spans="7:7" s="11" customFormat="1">
      <c r="G499" s="65"/>
    </row>
    <row r="500" spans="7:7" s="11" customFormat="1">
      <c r="G500" s="65"/>
    </row>
    <row r="501" spans="7:7" s="11" customFormat="1">
      <c r="G501" s="65"/>
    </row>
    <row r="502" spans="7:7" s="11" customFormat="1">
      <c r="G502" s="65"/>
    </row>
    <row r="503" spans="7:7" s="11" customFormat="1">
      <c r="G503" s="65"/>
    </row>
    <row r="504" spans="7:7" s="11" customFormat="1">
      <c r="G504" s="65"/>
    </row>
    <row r="505" spans="7:7" s="11" customFormat="1">
      <c r="G505" s="65"/>
    </row>
    <row r="506" spans="7:7" s="11" customFormat="1">
      <c r="G506" s="65"/>
    </row>
    <row r="507" spans="7:7" s="11" customFormat="1">
      <c r="G507" s="65"/>
    </row>
    <row r="508" spans="7:7" s="11" customFormat="1">
      <c r="G508" s="65"/>
    </row>
    <row r="509" spans="7:7" s="11" customFormat="1">
      <c r="G509" s="65"/>
    </row>
    <row r="510" spans="7:7" s="11" customFormat="1">
      <c r="G510" s="65"/>
    </row>
    <row r="511" spans="7:7" s="11" customFormat="1">
      <c r="G511" s="65"/>
    </row>
    <row r="512" spans="7:7" s="11" customFormat="1">
      <c r="G512" s="65"/>
    </row>
    <row r="513" spans="7:7" s="11" customFormat="1">
      <c r="G513" s="65"/>
    </row>
    <row r="514" spans="7:7" s="11" customFormat="1">
      <c r="G514" s="65"/>
    </row>
    <row r="515" spans="7:7" s="11" customFormat="1">
      <c r="G515" s="65"/>
    </row>
    <row r="516" spans="7:7" s="11" customFormat="1">
      <c r="G516" s="65"/>
    </row>
    <row r="517" spans="7:7" s="11" customFormat="1">
      <c r="G517" s="65"/>
    </row>
    <row r="518" spans="7:7" s="11" customFormat="1">
      <c r="G518" s="65"/>
    </row>
    <row r="519" spans="7:7" s="11" customFormat="1">
      <c r="G519" s="65"/>
    </row>
    <row r="520" spans="7:7" s="11" customFormat="1">
      <c r="G520" s="65"/>
    </row>
    <row r="521" spans="7:7" s="11" customFormat="1">
      <c r="G521" s="65"/>
    </row>
    <row r="522" spans="7:7" s="11" customFormat="1">
      <c r="G522" s="65"/>
    </row>
    <row r="523" spans="7:7" s="11" customFormat="1">
      <c r="G523" s="65"/>
    </row>
    <row r="524" spans="7:7" s="11" customFormat="1">
      <c r="G524" s="65"/>
    </row>
    <row r="525" spans="7:7" s="11" customFormat="1">
      <c r="G525" s="65"/>
    </row>
    <row r="526" spans="7:7" s="11" customFormat="1">
      <c r="G526" s="65"/>
    </row>
    <row r="527" spans="7:7" s="11" customFormat="1">
      <c r="G527" s="65"/>
    </row>
    <row r="528" spans="7:7" s="11" customFormat="1">
      <c r="G528" s="65"/>
    </row>
    <row r="529" spans="7:7" s="11" customFormat="1">
      <c r="G529" s="65"/>
    </row>
    <row r="530" spans="7:7" s="11" customFormat="1">
      <c r="G530" s="65"/>
    </row>
    <row r="531" spans="7:7" s="11" customFormat="1">
      <c r="G531" s="65"/>
    </row>
    <row r="532" spans="7:7" s="11" customFormat="1">
      <c r="G532" s="65"/>
    </row>
    <row r="533" spans="7:7" s="11" customFormat="1">
      <c r="G533" s="65"/>
    </row>
    <row r="534" spans="7:7" s="11" customFormat="1">
      <c r="G534" s="65"/>
    </row>
    <row r="535" spans="7:7" s="11" customFormat="1">
      <c r="G535" s="65"/>
    </row>
    <row r="536" spans="7:7" s="11" customFormat="1">
      <c r="G536" s="65"/>
    </row>
    <row r="537" spans="7:7" s="11" customFormat="1">
      <c r="G537" s="65"/>
    </row>
    <row r="538" spans="7:7" s="11" customFormat="1">
      <c r="G538" s="65"/>
    </row>
    <row r="539" spans="7:7" s="11" customFormat="1">
      <c r="G539" s="65"/>
    </row>
    <row r="540" spans="7:7" s="11" customFormat="1">
      <c r="G540" s="65"/>
    </row>
    <row r="541" spans="7:7" s="11" customFormat="1">
      <c r="G541" s="65"/>
    </row>
    <row r="542" spans="7:7" s="11" customFormat="1">
      <c r="G542" s="65"/>
    </row>
    <row r="543" spans="7:7" s="11" customFormat="1">
      <c r="G543" s="65"/>
    </row>
    <row r="544" spans="7:7" s="11" customFormat="1">
      <c r="G544" s="65"/>
    </row>
    <row r="545" spans="7:7" s="11" customFormat="1">
      <c r="G545" s="65"/>
    </row>
    <row r="546" spans="7:7" s="11" customFormat="1">
      <c r="G546" s="65"/>
    </row>
    <row r="547" spans="7:7" s="11" customFormat="1">
      <c r="G547" s="65"/>
    </row>
    <row r="548" spans="7:7" s="11" customFormat="1">
      <c r="G548" s="65"/>
    </row>
    <row r="549" spans="7:7" s="11" customFormat="1">
      <c r="G549" s="65"/>
    </row>
    <row r="550" spans="7:7" s="11" customFormat="1">
      <c r="G550" s="65"/>
    </row>
    <row r="551" spans="7:7" s="11" customFormat="1">
      <c r="G551" s="65"/>
    </row>
    <row r="552" spans="7:7" s="11" customFormat="1">
      <c r="G552" s="65"/>
    </row>
    <row r="553" spans="7:7" s="11" customFormat="1">
      <c r="G553" s="65"/>
    </row>
    <row r="554" spans="7:7" s="11" customFormat="1">
      <c r="G554" s="65"/>
    </row>
    <row r="555" spans="7:7" s="11" customFormat="1">
      <c r="G555" s="65"/>
    </row>
    <row r="556" spans="7:7" s="11" customFormat="1">
      <c r="G556" s="65"/>
    </row>
    <row r="557" spans="7:7" s="11" customFormat="1">
      <c r="G557" s="65"/>
    </row>
    <row r="558" spans="7:7" s="11" customFormat="1">
      <c r="G558" s="65"/>
    </row>
    <row r="559" spans="7:7" s="11" customFormat="1">
      <c r="G559" s="65"/>
    </row>
    <row r="560" spans="7:7" s="11" customFormat="1">
      <c r="G560" s="65"/>
    </row>
    <row r="561" spans="7:7" s="11" customFormat="1">
      <c r="G561" s="65"/>
    </row>
    <row r="562" spans="7:7" s="11" customFormat="1">
      <c r="G562" s="65"/>
    </row>
    <row r="563" spans="7:7" s="11" customFormat="1">
      <c r="G563" s="65"/>
    </row>
    <row r="564" spans="7:7" s="11" customFormat="1">
      <c r="G564" s="65"/>
    </row>
    <row r="565" spans="7:7" s="11" customFormat="1">
      <c r="G565" s="65"/>
    </row>
    <row r="566" spans="7:7" s="11" customFormat="1">
      <c r="G566" s="65"/>
    </row>
    <row r="567" spans="7:7" s="11" customFormat="1">
      <c r="G567" s="65"/>
    </row>
    <row r="568" spans="7:7" s="11" customFormat="1">
      <c r="G568" s="65"/>
    </row>
    <row r="569" spans="7:7" s="11" customFormat="1">
      <c r="G569" s="65"/>
    </row>
    <row r="570" spans="7:7" s="11" customFormat="1">
      <c r="G570" s="65"/>
    </row>
    <row r="571" spans="7:7" s="11" customFormat="1">
      <c r="G571" s="65"/>
    </row>
    <row r="572" spans="7:7" s="11" customFormat="1">
      <c r="G572" s="65"/>
    </row>
    <row r="573" spans="7:7" s="11" customFormat="1">
      <c r="G573" s="65"/>
    </row>
    <row r="574" spans="7:7" s="11" customFormat="1">
      <c r="G574" s="65"/>
    </row>
    <row r="575" spans="7:7" s="11" customFormat="1">
      <c r="G575" s="65"/>
    </row>
    <row r="576" spans="7:7" s="11" customFormat="1">
      <c r="G576" s="65"/>
    </row>
    <row r="577" spans="1:9" s="11" customFormat="1">
      <c r="G577" s="65"/>
    </row>
    <row r="578" spans="1:9" s="11" customFormat="1">
      <c r="G578" s="65"/>
    </row>
    <row r="579" spans="1:9" s="11" customFormat="1">
      <c r="G579" s="65"/>
    </row>
    <row r="580" spans="1:9" s="11" customFormat="1">
      <c r="G580" s="65"/>
    </row>
    <row r="581" spans="1:9" s="11" customFormat="1">
      <c r="G581" s="65"/>
    </row>
    <row r="582" spans="1:9" s="11" customFormat="1">
      <c r="G582" s="65"/>
    </row>
    <row r="583" spans="1:9" s="11" customFormat="1">
      <c r="G583" s="65"/>
    </row>
    <row r="584" spans="1:9" s="11" customFormat="1">
      <c r="G584" s="65"/>
    </row>
    <row r="585" spans="1:9" s="11" customFormat="1">
      <c r="G585" s="65"/>
    </row>
    <row r="586" spans="1:9" s="11" customFormat="1">
      <c r="G586" s="65"/>
    </row>
    <row r="587" spans="1:9" s="11" customFormat="1">
      <c r="G587" s="65"/>
    </row>
    <row r="588" spans="1:9" s="11" customFormat="1">
      <c r="G588" s="65"/>
    </row>
    <row r="589" spans="1:9" s="11" customFormat="1">
      <c r="G589" s="65"/>
    </row>
    <row r="590" spans="1:9" s="11" customFormat="1">
      <c r="A590" s="9"/>
      <c r="B590" s="9"/>
      <c r="C590" s="9"/>
      <c r="G590" s="65"/>
    </row>
    <row r="591" spans="1:9" s="11" customFormat="1">
      <c r="A591" s="9"/>
      <c r="B591" s="9"/>
      <c r="C591" s="9"/>
      <c r="D591" s="9"/>
      <c r="G591" s="65"/>
      <c r="H591" s="9"/>
      <c r="I591" s="9"/>
    </row>
    <row r="592" spans="1:9" s="11" customFormat="1">
      <c r="A592" s="9"/>
      <c r="B592" s="9"/>
      <c r="C592" s="9"/>
      <c r="D592" s="9"/>
      <c r="G592" s="65"/>
      <c r="H592" s="9"/>
      <c r="I592" s="9"/>
    </row>
    <row r="593" spans="1:9" s="11" customFormat="1">
      <c r="A593" s="9"/>
      <c r="B593" s="9"/>
      <c r="C593" s="9"/>
      <c r="D593" s="9"/>
      <c r="G593" s="65"/>
      <c r="H593" s="9"/>
      <c r="I593" s="9"/>
    </row>
    <row r="594" spans="1:9" s="11" customFormat="1">
      <c r="A594" s="9"/>
      <c r="B594" s="9"/>
      <c r="C594" s="9"/>
      <c r="D594" s="9"/>
      <c r="G594" s="65"/>
      <c r="H594" s="9"/>
      <c r="I594" s="9"/>
    </row>
    <row r="595" spans="1:9" s="11" customFormat="1">
      <c r="A595" s="9"/>
      <c r="B595" s="9"/>
      <c r="C595" s="9"/>
      <c r="D595" s="9"/>
      <c r="G595" s="65"/>
      <c r="H595" s="9"/>
      <c r="I595" s="9"/>
    </row>
    <row r="596" spans="1:9" s="11" customFormat="1">
      <c r="A596" s="9"/>
      <c r="B596" s="9"/>
      <c r="C596" s="9"/>
      <c r="D596" s="9"/>
      <c r="G596" s="65"/>
      <c r="H596" s="9"/>
      <c r="I596" s="9"/>
    </row>
    <row r="597" spans="1:9" s="11" customFormat="1">
      <c r="A597" s="9"/>
      <c r="B597" s="9"/>
      <c r="C597" s="9"/>
      <c r="D597" s="9"/>
      <c r="G597" s="65"/>
      <c r="H597" s="9"/>
      <c r="I597" s="9"/>
    </row>
    <row r="598" spans="1:9" s="11" customFormat="1">
      <c r="A598" s="9"/>
      <c r="B598" s="9"/>
      <c r="C598" s="9"/>
      <c r="D598" s="9"/>
      <c r="G598" s="65"/>
      <c r="H598" s="9"/>
      <c r="I598" s="9"/>
    </row>
    <row r="599" spans="1:9" s="11" customFormat="1">
      <c r="A599" s="9"/>
      <c r="B599" s="9"/>
      <c r="C599" s="9"/>
      <c r="D599" s="9"/>
      <c r="G599" s="65"/>
      <c r="H599" s="9"/>
      <c r="I599" s="9"/>
    </row>
    <row r="600" spans="1:9" s="11" customFormat="1">
      <c r="A600" s="9"/>
      <c r="B600" s="9"/>
      <c r="C600" s="9"/>
      <c r="D600" s="9"/>
      <c r="G600" s="65"/>
      <c r="H600" s="9"/>
      <c r="I600" s="9"/>
    </row>
    <row r="601" spans="1:9" s="11" customFormat="1">
      <c r="A601" s="9"/>
      <c r="B601" s="9"/>
      <c r="C601" s="9"/>
      <c r="D601" s="9"/>
      <c r="G601" s="65"/>
      <c r="H601" s="9"/>
      <c r="I601" s="9"/>
    </row>
    <row r="602" spans="1:9" s="11" customFormat="1">
      <c r="A602" s="9"/>
      <c r="B602" s="9"/>
      <c r="C602" s="9"/>
      <c r="D602" s="9"/>
      <c r="E602" s="9"/>
      <c r="G602" s="65"/>
      <c r="H602" s="9"/>
      <c r="I602" s="9"/>
    </row>
    <row r="603" spans="1:9" s="11" customFormat="1">
      <c r="A603" s="9"/>
      <c r="B603" s="9"/>
      <c r="C603" s="9"/>
      <c r="D603" s="9"/>
      <c r="E603" s="9"/>
      <c r="G603" s="65"/>
      <c r="H603" s="9"/>
      <c r="I603" s="9"/>
    </row>
    <row r="604" spans="1:9" s="11" customFormat="1">
      <c r="A604" s="9"/>
      <c r="B604" s="9"/>
      <c r="C604" s="9"/>
      <c r="D604" s="9"/>
      <c r="E604" s="9"/>
      <c r="G604" s="65"/>
      <c r="H604" s="9"/>
      <c r="I604" s="9"/>
    </row>
    <row r="605" spans="1:9" s="11" customFormat="1">
      <c r="A605" s="9"/>
      <c r="B605" s="9"/>
      <c r="C605" s="9"/>
      <c r="D605" s="9"/>
      <c r="E605" s="9"/>
      <c r="F605" s="9"/>
      <c r="G605" s="62"/>
      <c r="H605" s="9"/>
      <c r="I605" s="9"/>
    </row>
    <row r="606" spans="1:9" s="11" customFormat="1">
      <c r="A606" s="9"/>
      <c r="B606" s="9"/>
      <c r="C606" s="9"/>
      <c r="D606" s="9"/>
      <c r="E606" s="9"/>
      <c r="F606" s="9"/>
      <c r="G606" s="62"/>
      <c r="H606" s="9"/>
      <c r="I606" s="9"/>
    </row>
    <row r="607" spans="1:9" s="11" customFormat="1">
      <c r="A607" s="9"/>
      <c r="B607" s="9"/>
      <c r="C607" s="9"/>
      <c r="D607" s="9"/>
      <c r="E607" s="9"/>
      <c r="F607" s="9"/>
      <c r="G607" s="62"/>
      <c r="H607" s="9"/>
      <c r="I607" s="9"/>
    </row>
    <row r="608" spans="1:9" s="11" customFormat="1">
      <c r="A608" s="9"/>
      <c r="B608" s="9"/>
      <c r="C608" s="9"/>
      <c r="D608" s="9"/>
      <c r="E608" s="9"/>
      <c r="F608" s="9"/>
      <c r="G608" s="62"/>
      <c r="H608" s="9"/>
      <c r="I608" s="9"/>
    </row>
    <row r="609" spans="1:11" s="11" customFormat="1">
      <c r="A609" s="9"/>
      <c r="B609" s="9"/>
      <c r="C609" s="9"/>
      <c r="D609" s="9"/>
      <c r="E609" s="9"/>
      <c r="F609" s="9"/>
      <c r="G609" s="62"/>
      <c r="H609" s="9"/>
      <c r="I609" s="9"/>
    </row>
    <row r="610" spans="1:11" s="11" customFormat="1">
      <c r="A610" s="9"/>
      <c r="B610" s="9"/>
      <c r="C610" s="9"/>
      <c r="D610" s="9"/>
      <c r="E610" s="9"/>
      <c r="F610" s="9"/>
      <c r="G610" s="62"/>
      <c r="H610" s="9"/>
      <c r="I610" s="9"/>
    </row>
    <row r="611" spans="1:11" s="11" customFormat="1">
      <c r="A611" s="9"/>
      <c r="B611" s="9"/>
      <c r="C611" s="9"/>
      <c r="D611" s="9"/>
      <c r="E611" s="9"/>
      <c r="F611" s="9"/>
      <c r="G611" s="62"/>
      <c r="H611" s="9"/>
      <c r="I611" s="9"/>
    </row>
    <row r="612" spans="1:11" s="11" customFormat="1">
      <c r="A612" s="9"/>
      <c r="B612" s="9"/>
      <c r="C612" s="9"/>
      <c r="D612" s="9"/>
      <c r="E612" s="9"/>
      <c r="F612" s="9"/>
      <c r="G612" s="62"/>
      <c r="H612" s="9"/>
      <c r="I612" s="9"/>
      <c r="J612" s="9"/>
      <c r="K612" s="9"/>
    </row>
    <row r="613" spans="1:11" s="11" customFormat="1">
      <c r="A613" s="9"/>
      <c r="B613" s="9"/>
      <c r="C613" s="9"/>
      <c r="D613" s="9"/>
      <c r="E613" s="9"/>
      <c r="F613" s="9"/>
      <c r="G613" s="62"/>
      <c r="H613" s="9"/>
      <c r="I613" s="9"/>
      <c r="J613" s="9"/>
      <c r="K613" s="9"/>
    </row>
    <row r="614" spans="1:11" s="11" customFormat="1">
      <c r="A614" s="9"/>
      <c r="B614" s="9"/>
      <c r="C614" s="9"/>
      <c r="D614" s="9"/>
      <c r="E614" s="9"/>
      <c r="F614" s="9"/>
      <c r="G614" s="62"/>
      <c r="H614" s="9"/>
      <c r="I614" s="9"/>
      <c r="J614" s="9"/>
      <c r="K614" s="9"/>
    </row>
    <row r="615" spans="1:11" s="11" customFormat="1">
      <c r="A615" s="9"/>
      <c r="B615" s="9"/>
      <c r="C615" s="9"/>
      <c r="D615" s="9"/>
      <c r="E615" s="9"/>
      <c r="F615" s="9"/>
      <c r="G615" s="62"/>
      <c r="H615" s="9"/>
      <c r="I615" s="9"/>
      <c r="J615" s="9"/>
      <c r="K615" s="9"/>
    </row>
    <row r="616" spans="1:11" s="11" customFormat="1">
      <c r="A616" s="9"/>
      <c r="B616" s="9"/>
      <c r="C616" s="9"/>
      <c r="D616" s="9"/>
      <c r="E616" s="9"/>
      <c r="F616" s="9"/>
      <c r="G616" s="62"/>
      <c r="H616" s="9"/>
      <c r="I616" s="9"/>
      <c r="J616" s="9"/>
      <c r="K616" s="9"/>
    </row>
    <row r="617" spans="1:11" s="11" customFormat="1">
      <c r="A617" s="9"/>
      <c r="B617" s="9"/>
      <c r="C617" s="9"/>
      <c r="D617" s="9"/>
      <c r="E617" s="9"/>
      <c r="F617" s="9"/>
      <c r="G617" s="62"/>
      <c r="H617" s="9"/>
      <c r="I617" s="9"/>
      <c r="J617" s="9"/>
      <c r="K617" s="9"/>
    </row>
    <row r="618" spans="1:11" s="11" customFormat="1">
      <c r="A618" s="9"/>
      <c r="B618" s="9"/>
      <c r="C618" s="9"/>
      <c r="D618" s="9"/>
      <c r="E618" s="9"/>
      <c r="F618" s="9"/>
      <c r="G618" s="62"/>
      <c r="H618" s="9"/>
      <c r="I618" s="9"/>
      <c r="J618" s="9"/>
      <c r="K618" s="9"/>
    </row>
    <row r="619" spans="1:11" s="11" customFormat="1">
      <c r="A619" s="9"/>
      <c r="B619" s="9"/>
      <c r="C619" s="9"/>
      <c r="D619" s="9"/>
      <c r="E619" s="9"/>
      <c r="F619" s="9"/>
      <c r="G619" s="62"/>
      <c r="H619" s="9"/>
      <c r="I619" s="9"/>
      <c r="J619" s="9"/>
      <c r="K619" s="9"/>
    </row>
    <row r="620" spans="1:11" s="11" customFormat="1">
      <c r="A620" s="9"/>
      <c r="B620" s="9"/>
      <c r="C620" s="9"/>
      <c r="D620" s="9"/>
      <c r="E620" s="9"/>
      <c r="F620" s="9"/>
      <c r="G620" s="62"/>
      <c r="H620" s="9"/>
      <c r="I620" s="9"/>
      <c r="J620" s="9"/>
      <c r="K620" s="9"/>
    </row>
    <row r="621" spans="1:11" s="11" customFormat="1">
      <c r="A621" s="9"/>
      <c r="B621" s="9"/>
      <c r="C621" s="9"/>
      <c r="D621" s="9"/>
      <c r="E621" s="9"/>
      <c r="F621" s="9"/>
      <c r="G621" s="62"/>
      <c r="H621" s="9"/>
      <c r="I621" s="9"/>
      <c r="J621" s="9"/>
      <c r="K621" s="9"/>
    </row>
    <row r="622" spans="1:11" s="11" customFormat="1">
      <c r="A622" s="9"/>
      <c r="B622" s="9"/>
      <c r="C622" s="9"/>
      <c r="D622" s="9"/>
      <c r="E622" s="9"/>
      <c r="F622" s="9"/>
      <c r="G622" s="62"/>
      <c r="H622" s="9"/>
      <c r="I622" s="9"/>
      <c r="J622" s="9"/>
      <c r="K622" s="9"/>
    </row>
    <row r="623" spans="1:11" s="11" customFormat="1">
      <c r="A623" s="9"/>
      <c r="B623" s="9"/>
      <c r="C623" s="9"/>
      <c r="D623" s="9"/>
      <c r="E623" s="9"/>
      <c r="F623" s="9"/>
      <c r="G623" s="62"/>
      <c r="H623" s="9"/>
      <c r="I623" s="9"/>
      <c r="J623" s="9"/>
      <c r="K623" s="9"/>
    </row>
    <row r="624" spans="1:11" s="11" customFormat="1">
      <c r="A624" s="9"/>
      <c r="B624" s="9"/>
      <c r="C624" s="9"/>
      <c r="D624" s="9"/>
      <c r="E624" s="9"/>
      <c r="F624" s="9"/>
      <c r="G624" s="62"/>
      <c r="H624" s="9"/>
      <c r="I624" s="9"/>
      <c r="J624" s="9"/>
      <c r="K624" s="9"/>
    </row>
  </sheetData>
  <mergeCells count="26">
    <mergeCell ref="C41:D41"/>
    <mergeCell ref="C31:D31"/>
    <mergeCell ref="B58:B59"/>
    <mergeCell ref="A44:I44"/>
    <mergeCell ref="A19:A20"/>
    <mergeCell ref="A24:I24"/>
    <mergeCell ref="A34:I34"/>
    <mergeCell ref="G35:G40"/>
    <mergeCell ref="G25:G30"/>
    <mergeCell ref="C51:D51"/>
    <mergeCell ref="A54:D54"/>
    <mergeCell ref="B56:B57"/>
    <mergeCell ref="C21:I21"/>
    <mergeCell ref="E20:I20"/>
    <mergeCell ref="C19:C20"/>
    <mergeCell ref="D19:D20"/>
    <mergeCell ref="A1:I1"/>
    <mergeCell ref="A2:I2"/>
    <mergeCell ref="A3:I3"/>
    <mergeCell ref="A13:I13"/>
    <mergeCell ref="C10:D10"/>
    <mergeCell ref="D65:D66"/>
    <mergeCell ref="D67:D68"/>
    <mergeCell ref="H55:H56"/>
    <mergeCell ref="I55:I56"/>
    <mergeCell ref="G45:G51"/>
  </mergeCells>
  <conditionalFormatting sqref="A54 A55:C55 A4:F4 A57:A58 A5:B8 A56:B56 G5:G10 I5 I8:I9 D56:D57">
    <cfRule type="cellIs" dxfId="266" priority="391" operator="equal">
      <formula>"No Slot"</formula>
    </cfRule>
    <cfRule type="cellIs" dxfId="265" priority="392" operator="equal">
      <formula>"Friday, 19 July, 2024"</formula>
    </cfRule>
  </conditionalFormatting>
  <conditionalFormatting sqref="A10:B10">
    <cfRule type="cellIs" dxfId="264" priority="381" operator="equal">
      <formula>"No Slot"</formula>
    </cfRule>
    <cfRule type="cellIs" dxfId="263" priority="382" operator="equal">
      <formula>"Friday, 19 July, 2024"</formula>
    </cfRule>
  </conditionalFormatting>
  <conditionalFormatting sqref="A21:B21 A22:I25 A26:B31 A32:I35 A36:B41">
    <cfRule type="cellIs" dxfId="262" priority="395" operator="equal">
      <formula>"No Slot"</formula>
    </cfRule>
    <cfRule type="cellIs" dxfId="261" priority="396" operator="equal">
      <formula>"Friday, 19 July, 2024"</formula>
    </cfRule>
  </conditionalFormatting>
  <conditionalFormatting sqref="A42:E42 H42:I42 H56 A60:G60 H57:I59 A53:I53 A52:D52 H54:I55">
    <cfRule type="cellIs" dxfId="260" priority="404" operator="equal">
      <formula>"Friday, 19 July, 2024"</formula>
    </cfRule>
  </conditionalFormatting>
  <conditionalFormatting sqref="A42:E42 H42:I42 H56 A61:I62 H57:I59 A60:G60 A53:I53 A52:D52 H54:I55">
    <cfRule type="cellIs" dxfId="259" priority="403" operator="equal">
      <formula>"No Slot"</formula>
    </cfRule>
  </conditionalFormatting>
  <conditionalFormatting sqref="A1:I3 B9 A12:I14 A15:B19 H4:I4">
    <cfRule type="cellIs" dxfId="258" priority="401" operator="equal">
      <formula>"No Slot"</formula>
    </cfRule>
    <cfRule type="cellIs" dxfId="257" priority="402" operator="equal">
      <formula>"Friday, 19 July, 2024"</formula>
    </cfRule>
  </conditionalFormatting>
  <conditionalFormatting sqref="A43:I45 A46:B51">
    <cfRule type="cellIs" dxfId="256" priority="393" operator="equal">
      <formula>"No Slot"</formula>
    </cfRule>
    <cfRule type="cellIs" dxfId="255" priority="394" operator="equal">
      <formula>"Friday, 19 July, 2024"</formula>
    </cfRule>
  </conditionalFormatting>
  <conditionalFormatting sqref="B20">
    <cfRule type="cellIs" dxfId="254" priority="397" operator="equal">
      <formula>"No Slot"</formula>
    </cfRule>
    <cfRule type="cellIs" dxfId="253" priority="398" operator="equal">
      <formula>"Friday, 19 July, 2024"</formula>
    </cfRule>
  </conditionalFormatting>
  <conditionalFormatting sqref="C31">
    <cfRule type="cellIs" dxfId="252" priority="379" operator="equal">
      <formula>"No Slot"</formula>
    </cfRule>
    <cfRule type="cellIs" dxfId="251" priority="380" operator="equal">
      <formula>"Friday, 19 July, 2024"</formula>
    </cfRule>
  </conditionalFormatting>
  <conditionalFormatting sqref="C41">
    <cfRule type="cellIs" dxfId="250" priority="377" operator="equal">
      <formula>"No Slot"</formula>
    </cfRule>
    <cfRule type="cellIs" dxfId="249" priority="378" operator="equal">
      <formula>"Friday, 19 July, 2024"</formula>
    </cfRule>
  </conditionalFormatting>
  <conditionalFormatting sqref="C51">
    <cfRule type="cellIs" dxfId="248" priority="375" operator="equal">
      <formula>"No Slot"</formula>
    </cfRule>
    <cfRule type="cellIs" dxfId="247" priority="376" operator="equal">
      <formula>"Friday, 19 July, 2024"</formula>
    </cfRule>
  </conditionalFormatting>
  <conditionalFormatting sqref="E20:I20 G15:G19">
    <cfRule type="cellIs" dxfId="246" priority="383" operator="equal">
      <formula>"No Slot"</formula>
    </cfRule>
    <cfRule type="cellIs" dxfId="245" priority="384" operator="equal">
      <formula>"Friday, 19 July, 2024"</formula>
    </cfRule>
  </conditionalFormatting>
  <conditionalFormatting sqref="D30 D26:D27 H28 I29 F27:F28 I26:I27 C28:C30">
    <cfRule type="cellIs" dxfId="244" priority="389" operator="equal">
      <formula>"No Slot"</formula>
    </cfRule>
    <cfRule type="cellIs" dxfId="243" priority="390" operator="equal">
      <formula>"Friday, 19 July, 2024"</formula>
    </cfRule>
  </conditionalFormatting>
  <conditionalFormatting sqref="H37 I36 I38">
    <cfRule type="cellIs" dxfId="242" priority="387" operator="equal">
      <formula>"No Slot"</formula>
    </cfRule>
    <cfRule type="cellIs" dxfId="241" priority="388" operator="equal">
      <formula>"Friday, 19 July, 2024"</formula>
    </cfRule>
  </conditionalFormatting>
  <conditionalFormatting sqref="D47 H48 I49 E49">
    <cfRule type="cellIs" dxfId="240" priority="385" operator="equal">
      <formula>"No Slot"</formula>
    </cfRule>
    <cfRule type="cellIs" dxfId="239" priority="386" operator="equal">
      <formula>"Friday, 19 July, 2024"</formula>
    </cfRule>
  </conditionalFormatting>
  <conditionalFormatting sqref="K16">
    <cfRule type="cellIs" dxfId="238" priority="405" operator="equal">
      <formula>"No Slot"</formula>
    </cfRule>
  </conditionalFormatting>
  <conditionalFormatting sqref="D55">
    <cfRule type="cellIs" dxfId="237" priority="365" operator="equal">
      <formula>"Public Holiday"</formula>
    </cfRule>
  </conditionalFormatting>
  <conditionalFormatting sqref="D55">
    <cfRule type="cellIs" dxfId="236" priority="366" operator="equal">
      <formula>"No Slot"</formula>
    </cfRule>
  </conditionalFormatting>
  <conditionalFormatting sqref="G4">
    <cfRule type="cellIs" dxfId="235" priority="363" operator="equal">
      <formula>"No Slot"</formula>
    </cfRule>
    <cfRule type="cellIs" dxfId="234" priority="364" operator="equal">
      <formula>"Friday, 19 July, 2024"</formula>
    </cfRule>
  </conditionalFormatting>
  <conditionalFormatting sqref="E26">
    <cfRule type="cellIs" dxfId="233" priority="361" operator="equal">
      <formula>"No Slot"</formula>
    </cfRule>
    <cfRule type="cellIs" dxfId="232" priority="362" operator="equal">
      <formula>"Friday, 19 July, 2024"</formula>
    </cfRule>
  </conditionalFormatting>
  <conditionalFormatting sqref="H36">
    <cfRule type="cellIs" dxfId="231" priority="359" operator="equal">
      <formula>"No Slot"</formula>
    </cfRule>
    <cfRule type="cellIs" dxfId="230" priority="360" operator="equal">
      <formula>"Friday, 19 July, 2024"</formula>
    </cfRule>
  </conditionalFormatting>
  <conditionalFormatting sqref="E39">
    <cfRule type="cellIs" dxfId="229" priority="357" operator="equal">
      <formula>"No Slot"</formula>
    </cfRule>
    <cfRule type="cellIs" dxfId="228" priority="358" operator="equal">
      <formula>"Friday, 19 July, 2024"</formula>
    </cfRule>
  </conditionalFormatting>
  <conditionalFormatting sqref="H51">
    <cfRule type="cellIs" dxfId="227" priority="349" operator="equal">
      <formula>"No Slot"</formula>
    </cfRule>
    <cfRule type="cellIs" dxfId="226" priority="350" operator="equal">
      <formula>"Friday, 19 July, 2024"</formula>
    </cfRule>
  </conditionalFormatting>
  <conditionalFormatting sqref="C57:C59">
    <cfRule type="cellIs" dxfId="225" priority="347" operator="equal">
      <formula>"No Slot"</formula>
    </cfRule>
    <cfRule type="cellIs" dxfId="224" priority="348" operator="equal">
      <formula>"Friday, 19 July, 2024"</formula>
    </cfRule>
  </conditionalFormatting>
  <conditionalFormatting sqref="H27">
    <cfRule type="cellIs" dxfId="223" priority="333" operator="equal">
      <formula>"No Slot"</formula>
    </cfRule>
    <cfRule type="cellIs" dxfId="222" priority="334" operator="equal">
      <formula>"Friday, 19 July, 2024"</formula>
    </cfRule>
  </conditionalFormatting>
  <conditionalFormatting sqref="I48">
    <cfRule type="cellIs" dxfId="221" priority="327" operator="equal">
      <formula>"No Slot"</formula>
    </cfRule>
    <cfRule type="cellIs" dxfId="220" priority="328" operator="equal">
      <formula>"Friday, 19 July, 2024"</formula>
    </cfRule>
  </conditionalFormatting>
  <conditionalFormatting sqref="D58:D59">
    <cfRule type="cellIs" dxfId="219" priority="323" operator="equal">
      <formula>"No Slot"</formula>
    </cfRule>
    <cfRule type="cellIs" dxfId="218" priority="324" operator="equal">
      <formula>"Friday, 19 July, 2024"</formula>
    </cfRule>
  </conditionalFormatting>
  <conditionalFormatting sqref="D58:D59">
    <cfRule type="cellIs" dxfId="217" priority="321" operator="equal">
      <formula>"No Slot"</formula>
    </cfRule>
    <cfRule type="cellIs" dxfId="216" priority="322" operator="equal">
      <formula>"Friday, 19 July, 2024"</formula>
    </cfRule>
  </conditionalFormatting>
  <conditionalFormatting sqref="H29">
    <cfRule type="cellIs" dxfId="215" priority="315" operator="equal">
      <formula>"No Slot"</formula>
    </cfRule>
    <cfRule type="cellIs" dxfId="214" priority="316" operator="equal">
      <formula>"Friday, 19 July, 2024"</formula>
    </cfRule>
  </conditionalFormatting>
  <conditionalFormatting sqref="E30">
    <cfRule type="cellIs" dxfId="213" priority="313" operator="equal">
      <formula>"No Slot"</formula>
    </cfRule>
    <cfRule type="cellIs" dxfId="212" priority="314" operator="equal">
      <formula>"Friday, 19 July, 2024"</formula>
    </cfRule>
  </conditionalFormatting>
  <conditionalFormatting sqref="C48:C49">
    <cfRule type="cellIs" dxfId="211" priority="309" operator="equal">
      <formula>"No Slot"</formula>
    </cfRule>
    <cfRule type="cellIs" dxfId="210" priority="310" operator="equal">
      <formula>"Friday, 19 July, 2024"</formula>
    </cfRule>
  </conditionalFormatting>
  <conditionalFormatting sqref="D29">
    <cfRule type="cellIs" dxfId="209" priority="305" operator="equal">
      <formula>"No Slot"</formula>
    </cfRule>
    <cfRule type="cellIs" dxfId="208" priority="306" operator="equal">
      <formula>"Friday, 19 July, 2024"</formula>
    </cfRule>
  </conditionalFormatting>
  <conditionalFormatting sqref="I30:I31 E31:H31">
    <cfRule type="cellIs" dxfId="207" priority="303" operator="equal">
      <formula>"No Slot"</formula>
    </cfRule>
    <cfRule type="cellIs" dxfId="206" priority="304" operator="equal">
      <formula>"Friday, 19 July, 2024"</formula>
    </cfRule>
  </conditionalFormatting>
  <conditionalFormatting sqref="F39">
    <cfRule type="cellIs" dxfId="205" priority="301" operator="equal">
      <formula>"No Slot"</formula>
    </cfRule>
    <cfRule type="cellIs" dxfId="204" priority="302" operator="equal">
      <formula>"Friday, 19 July, 2024"</formula>
    </cfRule>
  </conditionalFormatting>
  <conditionalFormatting sqref="I40:I41 E41:H41">
    <cfRule type="cellIs" dxfId="203" priority="299" operator="equal">
      <formula>"No Slot"</formula>
    </cfRule>
    <cfRule type="cellIs" dxfId="202" priority="300" operator="equal">
      <formula>"Friday, 19 July, 2024"</formula>
    </cfRule>
  </conditionalFormatting>
  <conditionalFormatting sqref="I51">
    <cfRule type="cellIs" dxfId="201" priority="297" operator="equal">
      <formula>"No Slot"</formula>
    </cfRule>
    <cfRule type="cellIs" dxfId="200" priority="298" operator="equal">
      <formula>"Friday, 19 July, 2024"</formula>
    </cfRule>
  </conditionalFormatting>
  <conditionalFormatting sqref="D50">
    <cfRule type="cellIs" dxfId="199" priority="295" operator="equal">
      <formula>"No Slot"</formula>
    </cfRule>
    <cfRule type="cellIs" dxfId="198" priority="296" operator="equal">
      <formula>"Friday, 19 July, 2024"</formula>
    </cfRule>
  </conditionalFormatting>
  <conditionalFormatting sqref="H47">
    <cfRule type="cellIs" dxfId="197" priority="273" operator="equal">
      <formula>"No Slot"</formula>
    </cfRule>
    <cfRule type="cellIs" dxfId="196" priority="274" operator="equal">
      <formula>"Friday, 19 July, 2024"</formula>
    </cfRule>
  </conditionalFormatting>
  <conditionalFormatting sqref="H47">
    <cfRule type="cellIs" dxfId="195" priority="271" operator="equal">
      <formula>"No Slot"</formula>
    </cfRule>
    <cfRule type="cellIs" dxfId="194" priority="272" operator="equal">
      <formula>"Friday, 19 July, 2024"</formula>
    </cfRule>
  </conditionalFormatting>
  <conditionalFormatting sqref="F40">
    <cfRule type="cellIs" dxfId="193" priority="259" operator="equal">
      <formula>"No Slot"</formula>
    </cfRule>
    <cfRule type="cellIs" dxfId="192" priority="260" operator="equal">
      <formula>"Friday, 19 July, 2024"</formula>
    </cfRule>
  </conditionalFormatting>
  <conditionalFormatting sqref="H28">
    <cfRule type="cellIs" dxfId="191" priority="251" operator="equal">
      <formula>"No Slot"</formula>
    </cfRule>
    <cfRule type="cellIs" dxfId="190" priority="252" operator="equal">
      <formula>"Friday, 19 July, 2024"</formula>
    </cfRule>
  </conditionalFormatting>
  <conditionalFormatting sqref="C38">
    <cfRule type="cellIs" dxfId="189" priority="249" operator="equal">
      <formula>"No Slot"</formula>
    </cfRule>
    <cfRule type="cellIs" dxfId="188" priority="250" operator="equal">
      <formula>"Friday, 19 July, 2024"</formula>
    </cfRule>
  </conditionalFormatting>
  <conditionalFormatting sqref="C38">
    <cfRule type="cellIs" dxfId="187" priority="247" operator="equal">
      <formula>"No Slot"</formula>
    </cfRule>
    <cfRule type="cellIs" dxfId="186" priority="248" operator="equal">
      <formula>"Friday, 19 July, 2024"</formula>
    </cfRule>
  </conditionalFormatting>
  <conditionalFormatting sqref="H39">
    <cfRule type="cellIs" dxfId="185" priority="245" operator="equal">
      <formula>"No Slot"</formula>
    </cfRule>
    <cfRule type="cellIs" dxfId="184" priority="246" operator="equal">
      <formula>"Friday, 19 July, 2024"</formula>
    </cfRule>
  </conditionalFormatting>
  <conditionalFormatting sqref="H39">
    <cfRule type="cellIs" dxfId="183" priority="243" operator="equal">
      <formula>"No Slot"</formula>
    </cfRule>
    <cfRule type="cellIs" dxfId="182" priority="244" operator="equal">
      <formula>"Friday, 19 July, 2024"</formula>
    </cfRule>
  </conditionalFormatting>
  <conditionalFormatting sqref="D28">
    <cfRule type="cellIs" dxfId="181" priority="241" operator="equal">
      <formula>"No Slot"</formula>
    </cfRule>
    <cfRule type="cellIs" dxfId="180" priority="242" operator="equal">
      <formula>"Friday, 19 July, 2024"</formula>
    </cfRule>
  </conditionalFormatting>
  <conditionalFormatting sqref="F48">
    <cfRule type="cellIs" dxfId="179" priority="235" operator="equal">
      <formula>"No Slot"</formula>
    </cfRule>
    <cfRule type="cellIs" dxfId="178" priority="236" operator="equal">
      <formula>"Friday, 19 July, 2024"</formula>
    </cfRule>
  </conditionalFormatting>
  <conditionalFormatting sqref="E28">
    <cfRule type="cellIs" dxfId="177" priority="233" operator="equal">
      <formula>"No Slot"</formula>
    </cfRule>
    <cfRule type="cellIs" dxfId="176" priority="234" operator="equal">
      <formula>"Friday, 19 July, 2024"</formula>
    </cfRule>
  </conditionalFormatting>
  <conditionalFormatting sqref="D37:D38">
    <cfRule type="cellIs" dxfId="175" priority="229" operator="equal">
      <formula>"No Slot"</formula>
    </cfRule>
    <cfRule type="cellIs" dxfId="174" priority="230" operator="equal">
      <formula>"Friday, 19 July, 2024"</formula>
    </cfRule>
  </conditionalFormatting>
  <conditionalFormatting sqref="I39">
    <cfRule type="cellIs" dxfId="173" priority="225" operator="equal">
      <formula>"No Slot"</formula>
    </cfRule>
    <cfRule type="cellIs" dxfId="172" priority="226" operator="equal">
      <formula>"Friday, 19 July, 2024"</formula>
    </cfRule>
  </conditionalFormatting>
  <conditionalFormatting sqref="D40">
    <cfRule type="cellIs" dxfId="171" priority="223" operator="equal">
      <formula>"No Slot"</formula>
    </cfRule>
    <cfRule type="cellIs" dxfId="170" priority="224" operator="equal">
      <formula>"Friday, 19 July, 2024"</formula>
    </cfRule>
  </conditionalFormatting>
  <conditionalFormatting sqref="E29">
    <cfRule type="cellIs" dxfId="169" priority="217" operator="equal">
      <formula>"No Slot"</formula>
    </cfRule>
    <cfRule type="cellIs" dxfId="168" priority="218" operator="equal">
      <formula>"Friday, 19 July, 2024"</formula>
    </cfRule>
  </conditionalFormatting>
  <conditionalFormatting sqref="E38">
    <cfRule type="cellIs" dxfId="167" priority="211" operator="equal">
      <formula>"No Slot"</formula>
    </cfRule>
    <cfRule type="cellIs" dxfId="166" priority="212" operator="equal">
      <formula>"Friday, 19 July, 2024"</formula>
    </cfRule>
  </conditionalFormatting>
  <conditionalFormatting sqref="F29">
    <cfRule type="cellIs" dxfId="165" priority="203" operator="equal">
      <formula>"No Slot"</formula>
    </cfRule>
    <cfRule type="cellIs" dxfId="164" priority="204" operator="equal">
      <formula>"Friday, 19 July, 2024"</formula>
    </cfRule>
  </conditionalFormatting>
  <conditionalFormatting sqref="H26">
    <cfRule type="cellIs" dxfId="163" priority="193" operator="equal">
      <formula>"No Slot"</formula>
    </cfRule>
    <cfRule type="cellIs" dxfId="162" priority="194" operator="equal">
      <formula>"Friday, 19 July, 2024"</formula>
    </cfRule>
  </conditionalFormatting>
  <conditionalFormatting sqref="H46">
    <cfRule type="cellIs" dxfId="161" priority="185" operator="equal">
      <formula>"No Slot"</formula>
    </cfRule>
    <cfRule type="cellIs" dxfId="160" priority="186" operator="equal">
      <formula>"Friday, 19 July, 2024"</formula>
    </cfRule>
  </conditionalFormatting>
  <conditionalFormatting sqref="F50">
    <cfRule type="cellIs" dxfId="159" priority="183" operator="equal">
      <formula>"No Slot"</formula>
    </cfRule>
    <cfRule type="cellIs" dxfId="158" priority="184" operator="equal">
      <formula>"Friday, 19 July, 2024"</formula>
    </cfRule>
  </conditionalFormatting>
  <conditionalFormatting sqref="E36">
    <cfRule type="cellIs" dxfId="157" priority="181" operator="equal">
      <formula>"No Slot"</formula>
    </cfRule>
    <cfRule type="cellIs" dxfId="156" priority="182" operator="equal">
      <formula>"Friday, 19 July, 2024"</formula>
    </cfRule>
  </conditionalFormatting>
  <conditionalFormatting sqref="I46">
    <cfRule type="cellIs" dxfId="155" priority="179" operator="equal">
      <formula>"No Slot"</formula>
    </cfRule>
    <cfRule type="cellIs" dxfId="154" priority="180" operator="equal">
      <formula>"Friday, 19 July, 2024"</formula>
    </cfRule>
  </conditionalFormatting>
  <conditionalFormatting sqref="C27">
    <cfRule type="cellIs" dxfId="153" priority="177" operator="equal">
      <formula>"No Slot"</formula>
    </cfRule>
    <cfRule type="cellIs" dxfId="152" priority="178" operator="equal">
      <formula>"Friday, 19 July, 2024"</formula>
    </cfRule>
  </conditionalFormatting>
  <conditionalFormatting sqref="F36">
    <cfRule type="cellIs" dxfId="151" priority="175" operator="equal">
      <formula>"No Slot"</formula>
    </cfRule>
    <cfRule type="cellIs" dxfId="150" priority="176" operator="equal">
      <formula>"Friday, 19 July, 2024"</formula>
    </cfRule>
  </conditionalFormatting>
  <conditionalFormatting sqref="I50">
    <cfRule type="cellIs" dxfId="149" priority="173" operator="equal">
      <formula>"No Slot"</formula>
    </cfRule>
    <cfRule type="cellIs" dxfId="148" priority="174" operator="equal">
      <formula>"Friday, 19 July, 2024"</formula>
    </cfRule>
  </conditionalFormatting>
  <conditionalFormatting sqref="D64:E64 D65 F65">
    <cfRule type="cellIs" dxfId="147" priority="167" operator="equal">
      <formula>"No Slot"</formula>
    </cfRule>
    <cfRule type="cellIs" dxfId="146" priority="168" operator="equal">
      <formula>"Friday, 19 July, 2024"</formula>
    </cfRule>
  </conditionalFormatting>
  <conditionalFormatting sqref="F64">
    <cfRule type="cellIs" dxfId="145" priority="165" operator="equal">
      <formula>"Public Holiday"</formula>
    </cfRule>
  </conditionalFormatting>
  <conditionalFormatting sqref="F64">
    <cfRule type="cellIs" dxfId="144" priority="166" operator="equal">
      <formula>"No Slot"</formula>
    </cfRule>
  </conditionalFormatting>
  <conditionalFormatting sqref="E66:E68">
    <cfRule type="cellIs" dxfId="143" priority="163" operator="equal">
      <formula>"No Slot"</formula>
    </cfRule>
    <cfRule type="cellIs" dxfId="142" priority="164" operator="equal">
      <formula>"Friday, 19 July, 2024"</formula>
    </cfRule>
  </conditionalFormatting>
  <conditionalFormatting sqref="F66">
    <cfRule type="cellIs" dxfId="141" priority="161" operator="equal">
      <formula>"No Slot"</formula>
    </cfRule>
    <cfRule type="cellIs" dxfId="140" priority="162" operator="equal">
      <formula>"Friday, 19 July, 2024"</formula>
    </cfRule>
  </conditionalFormatting>
  <conditionalFormatting sqref="F66">
    <cfRule type="cellIs" dxfId="139" priority="159" operator="equal">
      <formula>"No Slot"</formula>
    </cfRule>
    <cfRule type="cellIs" dxfId="138" priority="160" operator="equal">
      <formula>"Friday, 19 July, 2024"</formula>
    </cfRule>
  </conditionalFormatting>
  <conditionalFormatting sqref="E65">
    <cfRule type="cellIs" dxfId="137" priority="157" operator="equal">
      <formula>"No Slot"</formula>
    </cfRule>
    <cfRule type="cellIs" dxfId="136" priority="158" operator="equal">
      <formula>"Friday, 19 July, 2024"</formula>
    </cfRule>
  </conditionalFormatting>
  <conditionalFormatting sqref="E65">
    <cfRule type="cellIs" dxfId="135" priority="155" operator="equal">
      <formula>"No Slot"</formula>
    </cfRule>
    <cfRule type="cellIs" dxfId="134" priority="156" operator="equal">
      <formula>"Friday, 19 July, 2024"</formula>
    </cfRule>
  </conditionalFormatting>
  <conditionalFormatting sqref="E48">
    <cfRule type="cellIs" dxfId="133" priority="153" operator="equal">
      <formula>"No Slot"</formula>
    </cfRule>
    <cfRule type="cellIs" dxfId="132" priority="154" operator="equal">
      <formula>"Friday, 19 July, 2024"</formula>
    </cfRule>
  </conditionalFormatting>
  <conditionalFormatting sqref="C10">
    <cfRule type="cellIs" dxfId="131" priority="149" operator="equal">
      <formula>"No Slot"</formula>
    </cfRule>
    <cfRule type="cellIs" dxfId="130" priority="150" operator="equal">
      <formula>"Friday, 19 July, 2024"</formula>
    </cfRule>
  </conditionalFormatting>
  <conditionalFormatting sqref="C21">
    <cfRule type="cellIs" dxfId="129" priority="147" operator="equal">
      <formula>"No Slot"</formula>
    </cfRule>
    <cfRule type="cellIs" dxfId="128" priority="148" operator="equal">
      <formula>"Friday, 19 July, 2024"</formula>
    </cfRule>
  </conditionalFormatting>
  <conditionalFormatting sqref="D5:D6 D8:D9">
    <cfRule type="cellIs" dxfId="127" priority="125" operator="equal">
      <formula>"No Slot"</formula>
    </cfRule>
    <cfRule type="cellIs" dxfId="126" priority="126" operator="equal">
      <formula>"Friday, 19 July, 2024"</formula>
    </cfRule>
  </conditionalFormatting>
  <conditionalFormatting sqref="E5">
    <cfRule type="cellIs" dxfId="125" priority="119" operator="equal">
      <formula>"No Slot"</formula>
    </cfRule>
    <cfRule type="cellIs" dxfId="124" priority="120" operator="equal">
      <formula>"Friday, 19 July, 2024"</formula>
    </cfRule>
  </conditionalFormatting>
  <conditionalFormatting sqref="E6">
    <cfRule type="cellIs" dxfId="123" priority="117" operator="equal">
      <formula>"No Slot"</formula>
    </cfRule>
    <cfRule type="cellIs" dxfId="122" priority="118" operator="equal">
      <formula>"Friday, 19 July, 2024"</formula>
    </cfRule>
  </conditionalFormatting>
  <conditionalFormatting sqref="F5:F10">
    <cfRule type="cellIs" dxfId="121" priority="115" operator="equal">
      <formula>"No Slot"</formula>
    </cfRule>
    <cfRule type="cellIs" dxfId="120" priority="116" operator="equal">
      <formula>"Friday, 19 July, 2024"</formula>
    </cfRule>
  </conditionalFormatting>
  <conditionalFormatting sqref="H5:H10">
    <cfRule type="cellIs" dxfId="119" priority="113" operator="equal">
      <formula>"No Slot"</formula>
    </cfRule>
    <cfRule type="cellIs" dxfId="118" priority="114" operator="equal">
      <formula>"Friday, 19 July, 2024"</formula>
    </cfRule>
  </conditionalFormatting>
  <conditionalFormatting sqref="E8">
    <cfRule type="cellIs" dxfId="117" priority="111" operator="equal">
      <formula>"No Slot"</formula>
    </cfRule>
    <cfRule type="cellIs" dxfId="116" priority="112" operator="equal">
      <formula>"Friday, 19 July, 2024"</formula>
    </cfRule>
  </conditionalFormatting>
  <conditionalFormatting sqref="C6:C8">
    <cfRule type="cellIs" dxfId="115" priority="109" operator="equal">
      <formula>"No Slot"</formula>
    </cfRule>
    <cfRule type="cellIs" dxfId="114" priority="110" operator="equal">
      <formula>"Friday, 19 July, 2024"</formula>
    </cfRule>
  </conditionalFormatting>
  <conditionalFormatting sqref="C9">
    <cfRule type="cellIs" dxfId="113" priority="107" operator="equal">
      <formula>"No Slot"</formula>
    </cfRule>
    <cfRule type="cellIs" dxfId="112" priority="108" operator="equal">
      <formula>"Friday, 19 July, 2024"</formula>
    </cfRule>
  </conditionalFormatting>
  <conditionalFormatting sqref="C15:C17">
    <cfRule type="cellIs" dxfId="111" priority="105" operator="equal">
      <formula>"No Slot"</formula>
    </cfRule>
    <cfRule type="cellIs" dxfId="110" priority="106" operator="equal">
      <formula>"Friday, 19 July, 2024"</formula>
    </cfRule>
  </conditionalFormatting>
  <conditionalFormatting sqref="C18:C19">
    <cfRule type="cellIs" dxfId="109" priority="103" operator="equal">
      <formula>"No Slot"</formula>
    </cfRule>
    <cfRule type="cellIs" dxfId="108" priority="104" operator="equal">
      <formula>"Friday, 19 July, 2024"</formula>
    </cfRule>
  </conditionalFormatting>
  <conditionalFormatting sqref="E16">
    <cfRule type="cellIs" dxfId="107" priority="101" operator="equal">
      <formula>"No Slot"</formula>
    </cfRule>
    <cfRule type="cellIs" dxfId="106" priority="102" operator="equal">
      <formula>"Friday, 19 July, 2024"</formula>
    </cfRule>
  </conditionalFormatting>
  <conditionalFormatting sqref="E18:E19">
    <cfRule type="cellIs" dxfId="105" priority="99" operator="equal">
      <formula>"No Slot"</formula>
    </cfRule>
    <cfRule type="cellIs" dxfId="104" priority="100" operator="equal">
      <formula>"Friday, 19 July, 2024"</formula>
    </cfRule>
  </conditionalFormatting>
  <conditionalFormatting sqref="E17">
    <cfRule type="cellIs" dxfId="103" priority="97" operator="equal">
      <formula>"No Slot"</formula>
    </cfRule>
    <cfRule type="cellIs" dxfId="102" priority="98" operator="equal">
      <formula>"Friday, 19 July, 2024"</formula>
    </cfRule>
  </conditionalFormatting>
  <conditionalFormatting sqref="E15">
    <cfRule type="cellIs" dxfId="101" priority="95" operator="equal">
      <formula>"No Slot"</formula>
    </cfRule>
    <cfRule type="cellIs" dxfId="100" priority="96" operator="equal">
      <formula>"Friday, 19 July, 2024"</formula>
    </cfRule>
  </conditionalFormatting>
  <conditionalFormatting sqref="F15">
    <cfRule type="cellIs" dxfId="99" priority="91" operator="equal">
      <formula>"No Slot"</formula>
    </cfRule>
    <cfRule type="cellIs" dxfId="98" priority="92" operator="equal">
      <formula>"Friday, 19 July, 2024"</formula>
    </cfRule>
  </conditionalFormatting>
  <conditionalFormatting sqref="C26">
    <cfRule type="cellIs" dxfId="97" priority="89" operator="equal">
      <formula>"No Slot"</formula>
    </cfRule>
    <cfRule type="cellIs" dxfId="96" priority="90" operator="equal">
      <formula>"Friday, 19 July, 2024"</formula>
    </cfRule>
  </conditionalFormatting>
  <conditionalFormatting sqref="E27">
    <cfRule type="cellIs" dxfId="95" priority="87" operator="equal">
      <formula>"No Slot"</formula>
    </cfRule>
    <cfRule type="cellIs" dxfId="94" priority="88" operator="equal">
      <formula>"Friday, 19 July, 2024"</formula>
    </cfRule>
  </conditionalFormatting>
  <conditionalFormatting sqref="H30">
    <cfRule type="cellIs" dxfId="93" priority="85" operator="equal">
      <formula>"No Slot"</formula>
    </cfRule>
    <cfRule type="cellIs" dxfId="92" priority="86" operator="equal">
      <formula>"Friday, 19 July, 2024"</formula>
    </cfRule>
  </conditionalFormatting>
  <conditionalFormatting sqref="C36">
    <cfRule type="cellIs" dxfId="91" priority="83" operator="equal">
      <formula>"No Slot"</formula>
    </cfRule>
    <cfRule type="cellIs" dxfId="90" priority="84" operator="equal">
      <formula>"Friday, 19 July, 2024"</formula>
    </cfRule>
  </conditionalFormatting>
  <conditionalFormatting sqref="E37">
    <cfRule type="cellIs" dxfId="89" priority="81" operator="equal">
      <formula>"No Slot"</formula>
    </cfRule>
    <cfRule type="cellIs" dxfId="88" priority="82" operator="equal">
      <formula>"Friday, 19 July, 2024"</formula>
    </cfRule>
  </conditionalFormatting>
  <conditionalFormatting sqref="H40">
    <cfRule type="cellIs" dxfId="87" priority="79" operator="equal">
      <formula>"No Slot"</formula>
    </cfRule>
    <cfRule type="cellIs" dxfId="86" priority="80" operator="equal">
      <formula>"Friday, 19 July, 2024"</formula>
    </cfRule>
  </conditionalFormatting>
  <conditionalFormatting sqref="C46">
    <cfRule type="cellIs" dxfId="85" priority="77" operator="equal">
      <formula>"No Slot"</formula>
    </cfRule>
    <cfRule type="cellIs" dxfId="84" priority="78" operator="equal">
      <formula>"Friday, 19 July, 2024"</formula>
    </cfRule>
  </conditionalFormatting>
  <conditionalFormatting sqref="E47">
    <cfRule type="cellIs" dxfId="83" priority="75" operator="equal">
      <formula>"No Slot"</formula>
    </cfRule>
    <cfRule type="cellIs" dxfId="82" priority="76" operator="equal">
      <formula>"Friday, 19 July, 2024"</formula>
    </cfRule>
  </conditionalFormatting>
  <conditionalFormatting sqref="E51">
    <cfRule type="cellIs" dxfId="81" priority="71" operator="equal">
      <formula>"No Slot"</formula>
    </cfRule>
    <cfRule type="cellIs" dxfId="80" priority="72" operator="equal">
      <formula>"Friday, 19 July, 2024"</formula>
    </cfRule>
  </conditionalFormatting>
  <conditionalFormatting sqref="C56">
    <cfRule type="cellIs" dxfId="79" priority="67" operator="equal">
      <formula>"No Slot"</formula>
    </cfRule>
    <cfRule type="cellIs" dxfId="78" priority="68" operator="equal">
      <formula>"Friday, 19 July, 2024"</formula>
    </cfRule>
  </conditionalFormatting>
  <conditionalFormatting sqref="D46">
    <cfRule type="cellIs" dxfId="77" priority="63" operator="equal">
      <formula>"No Slot"</formula>
    </cfRule>
    <cfRule type="cellIs" dxfId="76" priority="64" operator="equal">
      <formula>"Friday, 19 July, 2024"</formula>
    </cfRule>
  </conditionalFormatting>
  <conditionalFormatting sqref="E50">
    <cfRule type="cellIs" dxfId="75" priority="61" operator="equal">
      <formula>"No Slot"</formula>
    </cfRule>
    <cfRule type="cellIs" dxfId="74" priority="62" operator="equal">
      <formula>"Friday, 19 July, 2024"</formula>
    </cfRule>
  </conditionalFormatting>
  <conditionalFormatting sqref="F46:F47">
    <cfRule type="cellIs" dxfId="73" priority="59" operator="equal">
      <formula>"No Slot"</formula>
    </cfRule>
    <cfRule type="cellIs" dxfId="72" priority="60" operator="equal">
      <formula>"Friday, 19 July, 2024"</formula>
    </cfRule>
  </conditionalFormatting>
  <conditionalFormatting sqref="F16">
    <cfRule type="cellIs" dxfId="71" priority="57" operator="equal">
      <formula>"No Slot"</formula>
    </cfRule>
    <cfRule type="cellIs" dxfId="70" priority="58" operator="equal">
      <formula>"Friday, 19 July, 2024"</formula>
    </cfRule>
  </conditionalFormatting>
  <conditionalFormatting sqref="F17">
    <cfRule type="cellIs" dxfId="69" priority="55" operator="equal">
      <formula>"No Slot"</formula>
    </cfRule>
    <cfRule type="cellIs" dxfId="68" priority="56" operator="equal">
      <formula>"Friday, 19 July, 2024"</formula>
    </cfRule>
  </conditionalFormatting>
  <conditionalFormatting sqref="F18">
    <cfRule type="cellIs" dxfId="67" priority="53" operator="equal">
      <formula>"No Slot"</formula>
    </cfRule>
    <cfRule type="cellIs" dxfId="66" priority="54" operator="equal">
      <formula>"Friday, 19 July, 2024"</formula>
    </cfRule>
  </conditionalFormatting>
  <conditionalFormatting sqref="F19">
    <cfRule type="cellIs" dxfId="65" priority="51" operator="equal">
      <formula>"No Slot"</formula>
    </cfRule>
    <cfRule type="cellIs" dxfId="64" priority="52" operator="equal">
      <formula>"Friday, 19 July, 2024"</formula>
    </cfRule>
  </conditionalFormatting>
  <conditionalFormatting sqref="H15:I19">
    <cfRule type="cellIs" dxfId="63" priority="49" operator="equal">
      <formula>"No Slot"</formula>
    </cfRule>
    <cfRule type="cellIs" dxfId="62" priority="50" operator="equal">
      <formula>"Friday, 19 July, 2024"</formula>
    </cfRule>
  </conditionalFormatting>
  <conditionalFormatting sqref="D15:D19">
    <cfRule type="cellIs" dxfId="61" priority="47" operator="equal">
      <formula>"No Slot"</formula>
    </cfRule>
    <cfRule type="cellIs" dxfId="60" priority="48" operator="equal">
      <formula>"Friday, 19 July, 2024"</formula>
    </cfRule>
  </conditionalFormatting>
  <conditionalFormatting sqref="D36">
    <cfRule type="cellIs" dxfId="59" priority="45" operator="equal">
      <formula>"No Slot"</formula>
    </cfRule>
    <cfRule type="cellIs" dxfId="58" priority="46" operator="equal">
      <formula>"Friday, 19 July, 2024"</formula>
    </cfRule>
  </conditionalFormatting>
  <conditionalFormatting sqref="F37">
    <cfRule type="cellIs" dxfId="57" priority="43" operator="equal">
      <formula>"No Slot"</formula>
    </cfRule>
    <cfRule type="cellIs" dxfId="56" priority="44" operator="equal">
      <formula>"Friday, 19 July, 2024"</formula>
    </cfRule>
  </conditionalFormatting>
  <conditionalFormatting sqref="H38">
    <cfRule type="cellIs" dxfId="55" priority="41" operator="equal">
      <formula>"No Slot"</formula>
    </cfRule>
    <cfRule type="cellIs" dxfId="54" priority="42" operator="equal">
      <formula>"Friday, 19 July, 2024"</formula>
    </cfRule>
  </conditionalFormatting>
  <conditionalFormatting sqref="C39">
    <cfRule type="cellIs" dxfId="53" priority="39" operator="equal">
      <formula>"No Slot"</formula>
    </cfRule>
    <cfRule type="cellIs" dxfId="52" priority="40" operator="equal">
      <formula>"Friday, 19 July, 2024"</formula>
    </cfRule>
  </conditionalFormatting>
  <conditionalFormatting sqref="E40">
    <cfRule type="cellIs" dxfId="51" priority="37" operator="equal">
      <formula>"No Slot"</formula>
    </cfRule>
    <cfRule type="cellIs" dxfId="50" priority="38" operator="equal">
      <formula>"Friday, 19 July, 2024"</formula>
    </cfRule>
  </conditionalFormatting>
  <conditionalFormatting sqref="E46">
    <cfRule type="cellIs" dxfId="49" priority="35" operator="equal">
      <formula>"No Slot"</formula>
    </cfRule>
    <cfRule type="cellIs" dxfId="48" priority="36" operator="equal">
      <formula>"Friday, 19 July, 2024"</formula>
    </cfRule>
  </conditionalFormatting>
  <conditionalFormatting sqref="C47">
    <cfRule type="cellIs" dxfId="47" priority="33" operator="equal">
      <formula>"No Slot"</formula>
    </cfRule>
    <cfRule type="cellIs" dxfId="46" priority="34" operator="equal">
      <formula>"Friday, 19 July, 2024"</formula>
    </cfRule>
  </conditionalFormatting>
  <conditionalFormatting sqref="E9">
    <cfRule type="cellIs" dxfId="45" priority="31" operator="equal">
      <formula>"No Slot"</formula>
    </cfRule>
    <cfRule type="cellIs" dxfId="44" priority="32" operator="equal">
      <formula>"Friday, 19 July, 2024"</formula>
    </cfRule>
  </conditionalFormatting>
  <conditionalFormatting sqref="I10">
    <cfRule type="cellIs" dxfId="43" priority="29" operator="equal">
      <formula>"No Slot"</formula>
    </cfRule>
    <cfRule type="cellIs" dxfId="42" priority="30" operator="equal">
      <formula>"Friday, 19 July, 2024"</formula>
    </cfRule>
  </conditionalFormatting>
  <conditionalFormatting sqref="E7">
    <cfRule type="cellIs" dxfId="41" priority="27" operator="equal">
      <formula>"No Slot"</formula>
    </cfRule>
    <cfRule type="cellIs" dxfId="40" priority="28" operator="equal">
      <formula>"Friday, 19 July, 2024"</formula>
    </cfRule>
  </conditionalFormatting>
  <conditionalFormatting sqref="E10">
    <cfRule type="cellIs" dxfId="39" priority="25" operator="equal">
      <formula>"No Slot"</formula>
    </cfRule>
    <cfRule type="cellIs" dxfId="38" priority="26" operator="equal">
      <formula>"Friday, 19 July, 2024"</formula>
    </cfRule>
  </conditionalFormatting>
  <conditionalFormatting sqref="I6">
    <cfRule type="cellIs" dxfId="37" priority="23" operator="equal">
      <formula>"No Slot"</formula>
    </cfRule>
    <cfRule type="cellIs" dxfId="36" priority="24" operator="equal">
      <formula>"Friday, 19 July, 2024"</formula>
    </cfRule>
  </conditionalFormatting>
  <conditionalFormatting sqref="I7">
    <cfRule type="cellIs" dxfId="35" priority="21" operator="equal">
      <formula>"No Slot"</formula>
    </cfRule>
    <cfRule type="cellIs" dxfId="34" priority="22" operator="equal">
      <formula>"Friday, 19 July, 2024"</formula>
    </cfRule>
  </conditionalFormatting>
  <conditionalFormatting sqref="C5">
    <cfRule type="cellIs" dxfId="33" priority="19" operator="equal">
      <formula>"No Slot"</formula>
    </cfRule>
    <cfRule type="cellIs" dxfId="32" priority="20" operator="equal">
      <formula>"Friday, 19 July, 2024"</formula>
    </cfRule>
  </conditionalFormatting>
  <conditionalFormatting sqref="I47">
    <cfRule type="cellIs" dxfId="31" priority="17" operator="equal">
      <formula>"No Slot"</formula>
    </cfRule>
    <cfRule type="cellIs" dxfId="30" priority="18" operator="equal">
      <formula>"Friday, 19 July, 2024"</formula>
    </cfRule>
  </conditionalFormatting>
  <conditionalFormatting sqref="D39">
    <cfRule type="cellIs" dxfId="29" priority="15" operator="equal">
      <formula>"No Slot"</formula>
    </cfRule>
    <cfRule type="cellIs" dxfId="28" priority="16" operator="equal">
      <formula>"Friday, 19 July, 2024"</formula>
    </cfRule>
  </conditionalFormatting>
  <conditionalFormatting sqref="C50">
    <cfRule type="cellIs" dxfId="27" priority="13" operator="equal">
      <formula>"No Slot"</formula>
    </cfRule>
    <cfRule type="cellIs" dxfId="26" priority="14" operator="equal">
      <formula>"Friday, 19 July, 2024"</formula>
    </cfRule>
  </conditionalFormatting>
  <conditionalFormatting sqref="F38">
    <cfRule type="cellIs" dxfId="25" priority="11" operator="equal">
      <formula>"No Slot"</formula>
    </cfRule>
    <cfRule type="cellIs" dxfId="24" priority="12" operator="equal">
      <formula>"Friday, 19 July, 2024"</formula>
    </cfRule>
  </conditionalFormatting>
  <conditionalFormatting sqref="D49">
    <cfRule type="cellIs" dxfId="23" priority="9" operator="equal">
      <formula>"No Slot"</formula>
    </cfRule>
    <cfRule type="cellIs" dxfId="22" priority="10" operator="equal">
      <formula>"Friday, 19 July, 2024"</formula>
    </cfRule>
  </conditionalFormatting>
  <conditionalFormatting sqref="F26">
    <cfRule type="cellIs" dxfId="21" priority="7" operator="equal">
      <formula>"No Slot"</formula>
    </cfRule>
    <cfRule type="cellIs" dxfId="20" priority="8" operator="equal">
      <formula>"Friday, 19 July, 2024"</formula>
    </cfRule>
  </conditionalFormatting>
  <conditionalFormatting sqref="C40">
    <cfRule type="cellIs" dxfId="19" priority="5" operator="equal">
      <formula>"No Slot"</formula>
    </cfRule>
    <cfRule type="cellIs" dxfId="18" priority="6" operator="equal">
      <formula>"Friday, 19 July, 2024"</formula>
    </cfRule>
  </conditionalFormatting>
  <conditionalFormatting sqref="D7">
    <cfRule type="cellIs" dxfId="17" priority="3" operator="equal">
      <formula>"No Slot"</formula>
    </cfRule>
    <cfRule type="cellIs" dxfId="16" priority="4" operator="equal">
      <formula>"Friday, 19 July, 2024"</formula>
    </cfRule>
  </conditionalFormatting>
  <conditionalFormatting sqref="F49">
    <cfRule type="cellIs" dxfId="15" priority="1" operator="equal">
      <formula>"No Slot"</formula>
    </cfRule>
    <cfRule type="cellIs" dxfId="14" priority="2" operator="equal">
      <formula>"Friday, 19 July, 2024"</formula>
    </cfRule>
  </conditionalFormatting>
  <printOptions horizontalCentered="1" verticalCentered="1"/>
  <pageMargins left="0.7" right="0.7" top="0.75" bottom="0.75" header="0.3" footer="0.3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DD30FFD-2492-4A3B-BFDC-1E750B4E64E1}">
          <x14:formula1>
            <xm:f>'Names list'!$C$2:$C$71</xm:f>
          </x14:formula1>
          <xm:sqref>H57:I57</xm:sqref>
        </x14:dataValidation>
        <x14:dataValidation type="list" allowBlank="1" showInputMessage="1" showErrorMessage="1" xr:uid="{3DF21BEC-E6B0-42EE-911D-9444EFCFC83E}">
          <x14:formula1>
            <xm:f>'Names list'!$C$2:$C$135</xm:f>
          </x14:formula1>
          <xm:sqref>G4:G10 D42:F51 E31:F31 E41:F41 C21:C51 E5:E20 H5:I10 A5:B51 D22:F30 C56:D59 F11:I20 G22:G25 F5:F10 D32:F40 E65:F66 C5:D19 G31:G35 H22:I51 G41:G45 E67:E68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7680-C816-4307-931A-73F02A903EEB}">
  <sheetPr>
    <pageSetUpPr fitToPage="1"/>
  </sheetPr>
  <dimension ref="B1:Q142"/>
  <sheetViews>
    <sheetView workbookViewId="0">
      <selection activeCell="C46" sqref="B1:C46"/>
    </sheetView>
  </sheetViews>
  <sheetFormatPr defaultRowHeight="12.75"/>
  <cols>
    <col min="1" max="1" width="9" style="156"/>
    <col min="2" max="2" width="44.125" style="156" bestFit="1" customWidth="1"/>
    <col min="3" max="3" width="24.5" style="253" customWidth="1"/>
    <col min="4" max="4" width="38.125" style="156" customWidth="1"/>
    <col min="5" max="5" width="9.375" style="156" customWidth="1"/>
    <col min="6" max="6" width="11.875" style="156" customWidth="1"/>
    <col min="7" max="7" width="11.25" style="156" customWidth="1"/>
    <col min="8" max="8" width="8.875" style="156" customWidth="1"/>
    <col min="9" max="9" width="7.875" style="156" customWidth="1"/>
    <col min="10" max="10" width="13.875" style="156" customWidth="1"/>
    <col min="11" max="12" width="15.25" style="156" customWidth="1"/>
    <col min="13" max="13" width="22" style="156" customWidth="1"/>
    <col min="14" max="14" width="18" style="156" customWidth="1"/>
    <col min="15" max="15" width="25.625" style="156" customWidth="1"/>
    <col min="16" max="16" width="14.375" style="156" customWidth="1"/>
    <col min="17" max="17" width="18.75" style="156" customWidth="1"/>
    <col min="18" max="18" width="20.75" style="156" customWidth="1"/>
    <col min="19" max="19" width="21.875" style="156" customWidth="1"/>
    <col min="20" max="20" width="12.875" style="156" customWidth="1"/>
    <col min="21" max="21" width="15.5" style="156" customWidth="1"/>
    <col min="22" max="16384" width="9" style="156"/>
  </cols>
  <sheetData>
    <row r="1" spans="2:6" ht="14.25">
      <c r="B1" s="155" t="s">
        <v>109</v>
      </c>
      <c r="C1" s="252" t="s">
        <v>110</v>
      </c>
      <c r="D1" s="155" t="s">
        <v>111</v>
      </c>
      <c r="E1" s="156" t="s">
        <v>112</v>
      </c>
      <c r="F1" s="156" t="s">
        <v>113</v>
      </c>
    </row>
    <row r="2" spans="2:6" ht="14.25">
      <c r="B2" s="157" t="s">
        <v>114</v>
      </c>
      <c r="C2" s="158" t="s">
        <v>115</v>
      </c>
      <c r="D2" s="159" t="s">
        <v>116</v>
      </c>
      <c r="E2" s="156" t="s">
        <v>117</v>
      </c>
    </row>
    <row r="3" spans="2:6" ht="14.25">
      <c r="B3" s="160" t="s">
        <v>118</v>
      </c>
      <c r="C3" s="161" t="s">
        <v>119</v>
      </c>
      <c r="D3" s="162" t="s">
        <v>120</v>
      </c>
      <c r="E3" s="156" t="s">
        <v>117</v>
      </c>
    </row>
    <row r="4" spans="2:6" ht="14.25">
      <c r="B4" s="159" t="s">
        <v>121</v>
      </c>
      <c r="C4" s="158" t="s">
        <v>39</v>
      </c>
      <c r="D4" s="159" t="s">
        <v>122</v>
      </c>
      <c r="E4" s="156" t="s">
        <v>117</v>
      </c>
    </row>
    <row r="5" spans="2:6" ht="14.25">
      <c r="B5" s="159" t="s">
        <v>123</v>
      </c>
      <c r="C5" s="158" t="s">
        <v>57</v>
      </c>
      <c r="D5" s="159" t="s">
        <v>124</v>
      </c>
      <c r="E5" s="156" t="s">
        <v>117</v>
      </c>
    </row>
    <row r="6" spans="2:6" ht="14.25">
      <c r="B6" s="162" t="s">
        <v>125</v>
      </c>
      <c r="C6" s="161" t="s">
        <v>126</v>
      </c>
      <c r="D6" s="162" t="s">
        <v>127</v>
      </c>
      <c r="E6" s="156" t="s">
        <v>117</v>
      </c>
    </row>
    <row r="7" spans="2:6" ht="14.25">
      <c r="B7" s="156" t="s">
        <v>128</v>
      </c>
      <c r="C7" s="161" t="s">
        <v>12</v>
      </c>
      <c r="D7" s="163" t="s">
        <v>129</v>
      </c>
      <c r="E7" s="156" t="s">
        <v>117</v>
      </c>
    </row>
    <row r="8" spans="2:6" ht="14.25">
      <c r="B8" s="159" t="s">
        <v>130</v>
      </c>
      <c r="C8" s="158" t="s">
        <v>131</v>
      </c>
      <c r="D8" s="159" t="s">
        <v>132</v>
      </c>
      <c r="E8" s="156" t="s">
        <v>117</v>
      </c>
    </row>
    <row r="9" spans="2:6" ht="14.25">
      <c r="B9" s="159" t="s">
        <v>133</v>
      </c>
      <c r="C9" s="158" t="s">
        <v>134</v>
      </c>
      <c r="D9" s="163" t="s">
        <v>135</v>
      </c>
      <c r="E9" s="156" t="s">
        <v>117</v>
      </c>
    </row>
    <row r="10" spans="2:6" ht="14.25">
      <c r="B10" s="159" t="s">
        <v>136</v>
      </c>
      <c r="C10" s="158" t="s">
        <v>56</v>
      </c>
      <c r="D10" s="163" t="s">
        <v>137</v>
      </c>
      <c r="E10" s="156" t="s">
        <v>117</v>
      </c>
    </row>
    <row r="11" spans="2:6" ht="14.25">
      <c r="B11" s="159" t="s">
        <v>138</v>
      </c>
      <c r="C11" s="158" t="s">
        <v>27</v>
      </c>
      <c r="D11" s="163" t="s">
        <v>139</v>
      </c>
      <c r="E11" s="156" t="s">
        <v>117</v>
      </c>
    </row>
    <row r="12" spans="2:6" ht="14.25">
      <c r="B12" s="159" t="s">
        <v>140</v>
      </c>
      <c r="C12" s="158" t="s">
        <v>141</v>
      </c>
      <c r="D12" s="163" t="s">
        <v>142</v>
      </c>
      <c r="E12" s="156" t="s">
        <v>117</v>
      </c>
    </row>
    <row r="13" spans="2:6" ht="14.25">
      <c r="B13" s="162" t="s">
        <v>143</v>
      </c>
      <c r="C13" s="161" t="s">
        <v>144</v>
      </c>
      <c r="D13" s="162" t="s">
        <v>145</v>
      </c>
      <c r="E13" s="156" t="s">
        <v>117</v>
      </c>
    </row>
    <row r="14" spans="2:6" ht="14.25">
      <c r="B14" s="159" t="s">
        <v>146</v>
      </c>
      <c r="C14" s="158" t="s">
        <v>147</v>
      </c>
      <c r="D14" s="159" t="s">
        <v>148</v>
      </c>
      <c r="E14" s="156" t="s">
        <v>117</v>
      </c>
    </row>
    <row r="15" spans="2:6" ht="14.25">
      <c r="B15" s="162" t="s">
        <v>149</v>
      </c>
      <c r="C15" s="161" t="s">
        <v>15</v>
      </c>
      <c r="D15" s="163" t="s">
        <v>150</v>
      </c>
      <c r="E15" s="156" t="s">
        <v>117</v>
      </c>
    </row>
    <row r="16" spans="2:6" ht="14.25">
      <c r="B16" s="159" t="s">
        <v>151</v>
      </c>
      <c r="C16" s="158" t="s">
        <v>42</v>
      </c>
      <c r="D16" s="159" t="s">
        <v>152</v>
      </c>
      <c r="E16" s="156" t="s">
        <v>117</v>
      </c>
    </row>
    <row r="17" spans="2:5" ht="14.25">
      <c r="B17" s="159" t="s">
        <v>153</v>
      </c>
      <c r="C17" s="158" t="s">
        <v>154</v>
      </c>
      <c r="D17" s="159" t="s">
        <v>155</v>
      </c>
      <c r="E17" s="156" t="s">
        <v>117</v>
      </c>
    </row>
    <row r="18" spans="2:5" ht="14.25">
      <c r="B18" s="162" t="s">
        <v>156</v>
      </c>
      <c r="C18" s="161" t="s">
        <v>157</v>
      </c>
      <c r="D18" s="162" t="s">
        <v>158</v>
      </c>
      <c r="E18" s="156" t="s">
        <v>117</v>
      </c>
    </row>
    <row r="19" spans="2:5" ht="14.25">
      <c r="B19" s="160" t="s">
        <v>159</v>
      </c>
      <c r="C19" s="161" t="s">
        <v>160</v>
      </c>
      <c r="D19" s="162" t="s">
        <v>161</v>
      </c>
      <c r="E19" s="156" t="s">
        <v>117</v>
      </c>
    </row>
    <row r="20" spans="2:5" ht="14.25">
      <c r="B20" s="162" t="s">
        <v>162</v>
      </c>
      <c r="C20" s="161" t="s">
        <v>163</v>
      </c>
      <c r="D20" s="162" t="s">
        <v>164</v>
      </c>
      <c r="E20" s="156" t="s">
        <v>117</v>
      </c>
    </row>
    <row r="21" spans="2:5" ht="14.25">
      <c r="B21" s="162" t="s">
        <v>165</v>
      </c>
      <c r="C21" s="161" t="s">
        <v>166</v>
      </c>
      <c r="D21" s="162" t="s">
        <v>167</v>
      </c>
      <c r="E21" s="156" t="s">
        <v>117</v>
      </c>
    </row>
    <row r="22" spans="2:5" ht="14.25">
      <c r="B22" s="157" t="s">
        <v>168</v>
      </c>
      <c r="C22" s="158" t="s">
        <v>169</v>
      </c>
      <c r="D22" s="159" t="s">
        <v>170</v>
      </c>
      <c r="E22" s="156" t="s">
        <v>117</v>
      </c>
    </row>
    <row r="23" spans="2:5" ht="14.25">
      <c r="B23" s="160" t="s">
        <v>171</v>
      </c>
      <c r="C23" s="161" t="s">
        <v>172</v>
      </c>
      <c r="D23" s="162" t="s">
        <v>173</v>
      </c>
      <c r="E23" s="156" t="s">
        <v>117</v>
      </c>
    </row>
    <row r="24" spans="2:5" ht="14.25">
      <c r="B24" s="157" t="s">
        <v>174</v>
      </c>
      <c r="C24" s="158" t="s">
        <v>30</v>
      </c>
      <c r="D24" s="163" t="s">
        <v>175</v>
      </c>
      <c r="E24" s="156" t="s">
        <v>117</v>
      </c>
    </row>
    <row r="25" spans="2:5" ht="14.25">
      <c r="B25" s="162" t="s">
        <v>176</v>
      </c>
      <c r="C25" s="161" t="s">
        <v>177</v>
      </c>
      <c r="D25" s="162" t="s">
        <v>178</v>
      </c>
      <c r="E25" s="156" t="s">
        <v>117</v>
      </c>
    </row>
    <row r="26" spans="2:5" ht="14.25">
      <c r="B26" s="162" t="s">
        <v>179</v>
      </c>
      <c r="C26" s="161" t="s">
        <v>55</v>
      </c>
      <c r="D26" s="163" t="s">
        <v>180</v>
      </c>
      <c r="E26" s="156" t="s">
        <v>117</v>
      </c>
    </row>
    <row r="27" spans="2:5" ht="14.25">
      <c r="B27" s="162" t="s">
        <v>181</v>
      </c>
      <c r="C27" s="161" t="s">
        <v>182</v>
      </c>
      <c r="D27" s="162" t="s">
        <v>183</v>
      </c>
      <c r="E27" s="156" t="s">
        <v>117</v>
      </c>
    </row>
    <row r="28" spans="2:5" ht="14.25">
      <c r="B28" s="162" t="s">
        <v>184</v>
      </c>
      <c r="C28" s="161" t="s">
        <v>185</v>
      </c>
      <c r="D28" s="162" t="s">
        <v>186</v>
      </c>
      <c r="E28" s="156" t="s">
        <v>117</v>
      </c>
    </row>
    <row r="29" spans="2:5" ht="14.25">
      <c r="B29" s="159" t="s">
        <v>187</v>
      </c>
      <c r="C29" s="158" t="s">
        <v>188</v>
      </c>
      <c r="D29" s="159" t="s">
        <v>189</v>
      </c>
      <c r="E29" s="156" t="s">
        <v>117</v>
      </c>
    </row>
    <row r="30" spans="2:5" ht="14.25">
      <c r="B30" s="160" t="s">
        <v>190</v>
      </c>
      <c r="C30" s="161" t="s">
        <v>191</v>
      </c>
      <c r="D30" s="162" t="s">
        <v>192</v>
      </c>
      <c r="E30" s="156" t="s">
        <v>117</v>
      </c>
    </row>
    <row r="31" spans="2:5" ht="14.25">
      <c r="B31" s="157" t="s">
        <v>193</v>
      </c>
      <c r="C31" s="158" t="s">
        <v>194</v>
      </c>
      <c r="D31" s="159" t="s">
        <v>195</v>
      </c>
      <c r="E31" s="156" t="s">
        <v>117</v>
      </c>
    </row>
    <row r="32" spans="2:5" ht="14.25">
      <c r="B32" s="159" t="s">
        <v>196</v>
      </c>
      <c r="C32" s="158" t="s">
        <v>197</v>
      </c>
      <c r="D32" s="159" t="s">
        <v>198</v>
      </c>
      <c r="E32" s="156" t="s">
        <v>117</v>
      </c>
    </row>
    <row r="33" spans="2:5" ht="14.25">
      <c r="B33" s="162" t="s">
        <v>199</v>
      </c>
      <c r="C33" s="161" t="s">
        <v>50</v>
      </c>
      <c r="D33" s="164" t="s">
        <v>200</v>
      </c>
      <c r="E33" s="156" t="s">
        <v>117</v>
      </c>
    </row>
    <row r="34" spans="2:5" ht="14.25">
      <c r="B34" s="162" t="s">
        <v>201</v>
      </c>
      <c r="C34" s="161" t="s">
        <v>46</v>
      </c>
      <c r="D34" s="163" t="s">
        <v>202</v>
      </c>
      <c r="E34" s="156" t="s">
        <v>117</v>
      </c>
    </row>
    <row r="35" spans="2:5" ht="14.25">
      <c r="B35" s="159" t="s">
        <v>203</v>
      </c>
      <c r="C35" s="158" t="s">
        <v>51</v>
      </c>
      <c r="D35" s="163" t="s">
        <v>204</v>
      </c>
      <c r="E35" s="156" t="s">
        <v>117</v>
      </c>
    </row>
    <row r="36" spans="2:5" ht="14.25">
      <c r="B36" s="159" t="s">
        <v>205</v>
      </c>
      <c r="C36" s="158" t="s">
        <v>206</v>
      </c>
      <c r="D36" s="159" t="s">
        <v>207</v>
      </c>
      <c r="E36" s="156" t="s">
        <v>117</v>
      </c>
    </row>
    <row r="37" spans="2:5" ht="14.25">
      <c r="B37" s="159" t="s">
        <v>208</v>
      </c>
      <c r="C37" s="158" t="s">
        <v>58</v>
      </c>
      <c r="D37" s="163" t="s">
        <v>209</v>
      </c>
      <c r="E37" s="156" t="s">
        <v>117</v>
      </c>
    </row>
    <row r="38" spans="2:5" ht="14.25">
      <c r="B38" s="159" t="s">
        <v>210</v>
      </c>
      <c r="C38" s="158" t="s">
        <v>16</v>
      </c>
      <c r="D38" s="163" t="s">
        <v>211</v>
      </c>
      <c r="E38" s="156" t="s">
        <v>117</v>
      </c>
    </row>
    <row r="39" spans="2:5" ht="14.25">
      <c r="B39" s="159" t="s">
        <v>212</v>
      </c>
      <c r="C39" s="158" t="s">
        <v>59</v>
      </c>
      <c r="D39" s="163" t="s">
        <v>213</v>
      </c>
      <c r="E39" s="156" t="s">
        <v>117</v>
      </c>
    </row>
    <row r="40" spans="2:5" ht="14.25">
      <c r="B40" s="160" t="s">
        <v>214</v>
      </c>
      <c r="C40" s="161" t="s">
        <v>215</v>
      </c>
      <c r="D40" s="162" t="s">
        <v>216</v>
      </c>
      <c r="E40" s="156" t="s">
        <v>117</v>
      </c>
    </row>
    <row r="41" spans="2:5" ht="14.25">
      <c r="B41" s="157" t="s">
        <v>217</v>
      </c>
      <c r="C41" s="158" t="s">
        <v>218</v>
      </c>
      <c r="D41" s="159" t="s">
        <v>219</v>
      </c>
      <c r="E41" s="156" t="s">
        <v>117</v>
      </c>
    </row>
    <row r="42" spans="2:5" ht="14.25">
      <c r="B42" s="162" t="s">
        <v>220</v>
      </c>
      <c r="C42" s="161" t="s">
        <v>221</v>
      </c>
      <c r="D42" s="162" t="s">
        <v>222</v>
      </c>
      <c r="E42" s="156" t="s">
        <v>117</v>
      </c>
    </row>
    <row r="43" spans="2:5" ht="14.25">
      <c r="B43" s="162" t="s">
        <v>223</v>
      </c>
      <c r="C43" s="161" t="s">
        <v>67</v>
      </c>
      <c r="D43" s="163" t="s">
        <v>224</v>
      </c>
      <c r="E43" s="156" t="s">
        <v>117</v>
      </c>
    </row>
    <row r="44" spans="2:5" ht="14.25">
      <c r="B44" s="159" t="s">
        <v>225</v>
      </c>
      <c r="C44" s="158" t="s">
        <v>226</v>
      </c>
      <c r="D44" s="159" t="s">
        <v>227</v>
      </c>
      <c r="E44" s="156" t="s">
        <v>117</v>
      </c>
    </row>
    <row r="45" spans="2:5" ht="14.25">
      <c r="B45" s="159" t="s">
        <v>228</v>
      </c>
      <c r="C45" s="158" t="s">
        <v>32</v>
      </c>
      <c r="D45" s="163" t="s">
        <v>229</v>
      </c>
      <c r="E45" s="156" t="s">
        <v>117</v>
      </c>
    </row>
    <row r="46" spans="2:5" ht="14.25">
      <c r="B46" s="159" t="s">
        <v>230</v>
      </c>
      <c r="C46" s="158" t="s">
        <v>231</v>
      </c>
      <c r="D46" s="163" t="s">
        <v>232</v>
      </c>
      <c r="E46" s="156" t="s">
        <v>117</v>
      </c>
    </row>
    <row r="47" spans="2:5" ht="14.25">
      <c r="B47" s="159" t="s">
        <v>233</v>
      </c>
      <c r="C47" s="158" t="s">
        <v>49</v>
      </c>
      <c r="D47" s="251" t="s">
        <v>234</v>
      </c>
      <c r="E47" s="156" t="s">
        <v>117</v>
      </c>
    </row>
    <row r="48" spans="2:5" ht="14.25">
      <c r="B48" s="159" t="s">
        <v>235</v>
      </c>
      <c r="C48" s="158" t="s">
        <v>31</v>
      </c>
      <c r="D48" s="251" t="s">
        <v>236</v>
      </c>
      <c r="E48" s="156" t="s">
        <v>117</v>
      </c>
    </row>
    <row r="49" spans="2:5" ht="14.25">
      <c r="B49" s="159" t="s">
        <v>237</v>
      </c>
      <c r="C49" s="158" t="s">
        <v>238</v>
      </c>
      <c r="D49" s="251" t="s">
        <v>239</v>
      </c>
      <c r="E49" s="156" t="s">
        <v>117</v>
      </c>
    </row>
    <row r="50" spans="2:5" ht="14.25">
      <c r="B50" s="159" t="s">
        <v>240</v>
      </c>
      <c r="C50" s="158" t="s">
        <v>241</v>
      </c>
      <c r="D50" s="251" t="s">
        <v>242</v>
      </c>
      <c r="E50" s="156" t="s">
        <v>117</v>
      </c>
    </row>
    <row r="51" spans="2:5" ht="14.25">
      <c r="B51" s="159" t="s">
        <v>243</v>
      </c>
      <c r="C51" s="158" t="s">
        <v>37</v>
      </c>
      <c r="D51" s="251" t="s">
        <v>244</v>
      </c>
      <c r="E51" s="156" t="s">
        <v>117</v>
      </c>
    </row>
    <row r="52" spans="2:5" ht="14.25">
      <c r="B52" s="159" t="s">
        <v>245</v>
      </c>
      <c r="C52" s="158" t="s">
        <v>52</v>
      </c>
      <c r="D52" s="251" t="s">
        <v>246</v>
      </c>
      <c r="E52" s="156" t="s">
        <v>117</v>
      </c>
    </row>
    <row r="53" spans="2:5" ht="14.25">
      <c r="B53" s="159" t="s">
        <v>247</v>
      </c>
      <c r="C53" s="158" t="s">
        <v>44</v>
      </c>
      <c r="D53" s="251" t="s">
        <v>248</v>
      </c>
      <c r="E53" s="156" t="s">
        <v>117</v>
      </c>
    </row>
    <row r="54" spans="2:5" ht="14.25">
      <c r="B54" s="159" t="s">
        <v>249</v>
      </c>
      <c r="C54" s="158" t="s">
        <v>19</v>
      </c>
      <c r="D54" s="251" t="s">
        <v>250</v>
      </c>
      <c r="E54" s="156" t="s">
        <v>117</v>
      </c>
    </row>
    <row r="55" spans="2:5" ht="14.25">
      <c r="B55" s="159" t="s">
        <v>251</v>
      </c>
      <c r="C55" s="158" t="s">
        <v>25</v>
      </c>
      <c r="D55" s="251" t="s">
        <v>252</v>
      </c>
      <c r="E55" s="156" t="s">
        <v>117</v>
      </c>
    </row>
    <row r="56" spans="2:5" ht="14.25">
      <c r="B56" s="159" t="s">
        <v>253</v>
      </c>
      <c r="C56" s="158" t="s">
        <v>24</v>
      </c>
      <c r="D56" s="251" t="s">
        <v>254</v>
      </c>
      <c r="E56" s="156" t="s">
        <v>117</v>
      </c>
    </row>
    <row r="57" spans="2:5" ht="14.25">
      <c r="B57" s="159" t="s">
        <v>255</v>
      </c>
      <c r="C57" s="158" t="s">
        <v>38</v>
      </c>
      <c r="D57" s="251" t="s">
        <v>256</v>
      </c>
      <c r="E57" s="156" t="s">
        <v>117</v>
      </c>
    </row>
    <row r="58" spans="2:5" ht="14.25">
      <c r="B58" s="159" t="s">
        <v>257</v>
      </c>
      <c r="C58" s="158" t="s">
        <v>20</v>
      </c>
      <c r="D58" s="251" t="s">
        <v>258</v>
      </c>
      <c r="E58" s="156" t="s">
        <v>117</v>
      </c>
    </row>
    <row r="59" spans="2:5" ht="14.25">
      <c r="B59" s="159" t="s">
        <v>259</v>
      </c>
      <c r="C59" s="158" t="s">
        <v>40</v>
      </c>
      <c r="D59" s="251" t="s">
        <v>260</v>
      </c>
      <c r="E59" s="156" t="s">
        <v>117</v>
      </c>
    </row>
    <row r="60" spans="2:5" ht="14.25">
      <c r="B60" s="159" t="s">
        <v>261</v>
      </c>
      <c r="C60" s="158" t="s">
        <v>13</v>
      </c>
      <c r="D60" s="251" t="s">
        <v>262</v>
      </c>
      <c r="E60" s="156" t="s">
        <v>117</v>
      </c>
    </row>
    <row r="61" spans="2:5" ht="14.25">
      <c r="B61" s="159" t="s">
        <v>72</v>
      </c>
      <c r="C61" s="158" t="s">
        <v>53</v>
      </c>
      <c r="D61" s="251" t="s">
        <v>263</v>
      </c>
      <c r="E61" s="156" t="s">
        <v>117</v>
      </c>
    </row>
    <row r="62" spans="2:5" ht="14.25">
      <c r="B62" s="159" t="s">
        <v>264</v>
      </c>
      <c r="C62" s="158" t="s">
        <v>265</v>
      </c>
      <c r="D62" s="251" t="s">
        <v>266</v>
      </c>
      <c r="E62" s="156" t="s">
        <v>117</v>
      </c>
    </row>
    <row r="63" spans="2:5" ht="14.25">
      <c r="B63" s="159" t="s">
        <v>267</v>
      </c>
      <c r="C63" s="158" t="s">
        <v>54</v>
      </c>
      <c r="D63" s="251" t="s">
        <v>268</v>
      </c>
      <c r="E63" s="156" t="s">
        <v>117</v>
      </c>
    </row>
    <row r="64" spans="2:5" ht="14.25">
      <c r="B64" s="159" t="s">
        <v>269</v>
      </c>
      <c r="C64" s="158" t="s">
        <v>270</v>
      </c>
      <c r="D64" s="251" t="s">
        <v>271</v>
      </c>
      <c r="E64" s="156" t="s">
        <v>117</v>
      </c>
    </row>
    <row r="65" spans="2:17" ht="14.25">
      <c r="B65" s="159" t="s">
        <v>272</v>
      </c>
      <c r="C65" s="158" t="s">
        <v>21</v>
      </c>
      <c r="D65" s="251" t="s">
        <v>273</v>
      </c>
      <c r="E65" s="156" t="s">
        <v>117</v>
      </c>
    </row>
    <row r="66" spans="2:17" ht="14.25">
      <c r="B66" s="159" t="s">
        <v>70</v>
      </c>
      <c r="C66" s="158" t="s">
        <v>14</v>
      </c>
      <c r="D66" s="251" t="s">
        <v>274</v>
      </c>
      <c r="E66" s="156" t="s">
        <v>117</v>
      </c>
    </row>
    <row r="67" spans="2:17" ht="14.25">
      <c r="B67" s="159" t="s">
        <v>76</v>
      </c>
      <c r="C67" s="158" t="s">
        <v>43</v>
      </c>
      <c r="D67" s="251" t="s">
        <v>275</v>
      </c>
      <c r="E67" s="156" t="s">
        <v>117</v>
      </c>
    </row>
    <row r="68" spans="2:17" ht="14.25">
      <c r="B68" s="159" t="s">
        <v>276</v>
      </c>
      <c r="C68" s="158" t="s">
        <v>45</v>
      </c>
      <c r="D68" s="251" t="s">
        <v>277</v>
      </c>
      <c r="E68" s="156" t="s">
        <v>117</v>
      </c>
    </row>
    <row r="69" spans="2:17" ht="14.25">
      <c r="B69" s="159" t="s">
        <v>83</v>
      </c>
      <c r="C69" s="158" t="s">
        <v>26</v>
      </c>
      <c r="D69" s="251" t="s">
        <v>278</v>
      </c>
      <c r="E69" s="156" t="s">
        <v>117</v>
      </c>
    </row>
    <row r="70" spans="2:17" ht="14.25">
      <c r="B70" s="162"/>
      <c r="C70" s="161" t="s">
        <v>279</v>
      </c>
      <c r="D70" s="162"/>
    </row>
    <row r="71" spans="2:17" ht="14.25">
      <c r="B71" s="159"/>
      <c r="C71" s="158" t="s">
        <v>91</v>
      </c>
      <c r="D71" s="159"/>
    </row>
    <row r="75" spans="2:17">
      <c r="O75" s="156" t="s">
        <v>280</v>
      </c>
      <c r="P75" s="166" t="s">
        <v>281</v>
      </c>
    </row>
    <row r="76" spans="2:17">
      <c r="O76" s="166" t="s">
        <v>282</v>
      </c>
      <c r="P76" s="166">
        <v>150</v>
      </c>
      <c r="Q76" s="156">
        <v>300</v>
      </c>
    </row>
    <row r="77" spans="2:17">
      <c r="O77" s="166" t="s">
        <v>283</v>
      </c>
      <c r="P77" s="166">
        <v>16</v>
      </c>
      <c r="Q77" s="156">
        <v>48</v>
      </c>
    </row>
    <row r="78" spans="2:17" ht="34.5" customHeight="1">
      <c r="O78" s="156" t="s">
        <v>284</v>
      </c>
      <c r="P78" s="156">
        <v>4</v>
      </c>
      <c r="Q78" s="156">
        <v>20</v>
      </c>
    </row>
    <row r="79" spans="2:17" ht="39.75" customHeight="1">
      <c r="C79" s="254" t="s">
        <v>285</v>
      </c>
      <c r="D79" s="167" t="s">
        <v>286</v>
      </c>
      <c r="E79" s="167"/>
      <c r="F79" s="168"/>
    </row>
    <row r="80" spans="2:17" ht="24" customHeight="1">
      <c r="C80" s="255"/>
      <c r="D80" s="169" t="s">
        <v>287</v>
      </c>
      <c r="E80" s="170"/>
      <c r="F80" s="170"/>
      <c r="G80" s="171" t="s">
        <v>61</v>
      </c>
      <c r="H80" s="171" t="s">
        <v>62</v>
      </c>
      <c r="I80" s="171" t="s">
        <v>288</v>
      </c>
      <c r="J80" s="171" t="s">
        <v>289</v>
      </c>
      <c r="K80" s="172" t="s">
        <v>290</v>
      </c>
      <c r="M80" s="173" t="s">
        <v>291</v>
      </c>
      <c r="N80" s="173" t="s">
        <v>292</v>
      </c>
      <c r="O80" s="173" t="s">
        <v>293</v>
      </c>
      <c r="P80" s="173" t="s">
        <v>294</v>
      </c>
    </row>
    <row r="81" spans="3:16" s="190" customFormat="1" ht="22.5" customHeight="1">
      <c r="C81" s="257" t="s">
        <v>295</v>
      </c>
      <c r="D81" s="209"/>
      <c r="E81" s="209"/>
      <c r="F81" s="209"/>
      <c r="G81" s="210">
        <f>COUNTIFS(Trainee!$C$5:$C$57, C81) + COUNTIFS(Trainee!$D$5:$D$51, C81)</f>
        <v>0</v>
      </c>
      <c r="H81" s="210">
        <f>COUNTIFS(Trainee!$E$5:$F$51, C81) + COUNTIFS(Trainee!$D$56:$D$57, C81)</f>
        <v>0</v>
      </c>
      <c r="I81" s="210">
        <f>COUNTIF(Trainee!$H$5:$I$51, C81)</f>
        <v>0</v>
      </c>
      <c r="J81" s="208">
        <f>SUM(G81) + (H81) +(I81)</f>
        <v>0</v>
      </c>
      <c r="K81" s="211">
        <f>SUM(MAX(G81 - M81, 0)*2 + MAX(H81 - N81 - O81, 0)*2 + MAX(I81 - P81, 0)*2 + M81*5 + N81*5 + O81*3 + P81*3)</f>
        <v>0</v>
      </c>
      <c r="M81" s="212">
        <f>COUNTIF(Trainee!$C$56:$C$59, C81)</f>
        <v>0</v>
      </c>
      <c r="N81" s="212">
        <f>COUNTIF(Trainee!$D$56:$D$57, C81)</f>
        <v>0</v>
      </c>
      <c r="O81" s="212">
        <f>COUNTIFS(Trainee!$E$10:$F$10, C81) + COUNTIFS(Trainee!$E$31:$F$31, C81) + COUNTIFS(Trainee!$E$41:$F$41, C81) + COUNTIFS(Trainee!$E$51:$F51, C81)</f>
        <v>0</v>
      </c>
      <c r="P81" s="212">
        <f>COUNTIFS(Trainee!$H$10:$I$10, C81) + COUNTIFS(Trainee!$H$31:$I$31, C81) + COUNTIFS(Trainee!$H$41:$I$41, C81) + COUNTIFS(Trainee!$H$51:$I51, C81)</f>
        <v>0</v>
      </c>
    </row>
    <row r="82" spans="3:16" s="190" customFormat="1" ht="18.75" customHeight="1">
      <c r="C82" s="258" t="s">
        <v>296</v>
      </c>
      <c r="D82" s="209"/>
      <c r="E82" s="209"/>
      <c r="F82" s="209"/>
      <c r="G82" s="210">
        <f>COUNTIFS(Trainee!$C$5:$C$57, C82) + COUNTIFS(Trainee!$D$5:$D$51, C82)</f>
        <v>0</v>
      </c>
      <c r="H82" s="210">
        <f>COUNTIFS(Trainee!$E$5:$F$51, C82) + COUNTIFS(Trainee!$D$56:$D$57, C82)</f>
        <v>0</v>
      </c>
      <c r="I82" s="210">
        <f>COUNTIF(Trainee!$H$5:$I$51, C82)</f>
        <v>0</v>
      </c>
      <c r="J82" s="208">
        <f t="shared" ref="J82:J134" si="0">SUM(G82) + (H82) +(I82)</f>
        <v>0</v>
      </c>
      <c r="K82" s="211">
        <f>SUM(MAX(G82 - M82, 0)*2 + MAX(H82 - N82 - O82, 0)*2 + MAX(I82 - P82, 0)*2 + M82*5 + N82*5 + O82*3 + P82*3)</f>
        <v>0</v>
      </c>
      <c r="M82" s="212">
        <f>COUNTIF(Trainee!$C$56:$C$57, C82)</f>
        <v>0</v>
      </c>
      <c r="N82" s="212">
        <f>COUNTIF(Trainee!$D$56:$D$57, C82)</f>
        <v>0</v>
      </c>
      <c r="O82" s="212">
        <f>COUNTIFS(Trainee!$E$10:$F$10, C82) + COUNTIFS(Trainee!$E$31:$F$31, C82) + COUNTIFS(Trainee!$E$41:$F$41, C82) + COUNTIFS(Trainee!$E$51:$F52, C82)</f>
        <v>0</v>
      </c>
      <c r="P82" s="212">
        <f>COUNTIFS(Trainee!$H$10:$I$10, C82) + COUNTIFS(Trainee!$H$31:$I$31, C82) + COUNTIFS(Trainee!$H$41:$I$41, C82) + COUNTIFS(Trainee!$H$51:$I52, C82)</f>
        <v>0</v>
      </c>
    </row>
    <row r="83" spans="3:16" s="190" customFormat="1" ht="18.75" customHeight="1">
      <c r="C83" s="259" t="s">
        <v>297</v>
      </c>
      <c r="D83" s="213"/>
      <c r="E83" s="213"/>
      <c r="F83" s="213"/>
      <c r="G83" s="210">
        <f>COUNTIFS(Trainee!$C$5:$C$57, C83) + COUNTIFS(Trainee!$D$5:$D$51, C83)</f>
        <v>0</v>
      </c>
      <c r="H83" s="210">
        <f>COUNTIFS(Trainee!$E$5:$F$51, C83) + COUNTIFS(Trainee!$D$56:$D$57, C83)</f>
        <v>0</v>
      </c>
      <c r="I83" s="210">
        <f>COUNTIF(Trainee!$H$5:$I$51, C83)</f>
        <v>0</v>
      </c>
      <c r="J83" s="208">
        <f t="shared" si="0"/>
        <v>0</v>
      </c>
      <c r="K83" s="211">
        <f>SUM(MAX(G83 - M83, 0)*2 + MAX(H83 - N83 - O83, 0)*2 + MAX(I83 - P83, 0)*2 + M83*5 + N83*5 + O83*3 + P83*3)</f>
        <v>0</v>
      </c>
      <c r="M83" s="212">
        <f>COUNTIF(Trainee!$C$56:$C$57, C83)</f>
        <v>0</v>
      </c>
      <c r="N83" s="212">
        <f>COUNTIF(Trainee!$D$56:$D$59, C83)</f>
        <v>0</v>
      </c>
      <c r="O83" s="212">
        <f>COUNTIFS(Trainee!$E$10:$F$10, C83) + COUNTIFS(Trainee!$E$31:$F$31, C83) + COUNTIFS(Trainee!$E$41:$F$41, C83) + COUNTIFS(Trainee!$E$51:$F53, C83)</f>
        <v>0</v>
      </c>
      <c r="P83" s="212">
        <f>COUNTIFS(Trainee!$H$10:$I$10, C83) + COUNTIFS(Trainee!$H$31:$I$31, C83) + COUNTIFS(Trainee!$H$41:$I$41, C83) + COUNTIFS(Trainee!$H$51:$I53, C83)</f>
        <v>0</v>
      </c>
    </row>
    <row r="84" spans="3:16" s="190" customFormat="1" ht="18.75" customHeight="1">
      <c r="C84" s="260" t="s">
        <v>298</v>
      </c>
      <c r="D84" s="213"/>
      <c r="E84" s="213"/>
      <c r="F84" s="213"/>
      <c r="G84" s="210">
        <f>COUNTIFS(Trainee!$C$5:$C$57, C84) + COUNTIFS(Trainee!$D$5:$D$51, C84)</f>
        <v>0</v>
      </c>
      <c r="H84" s="210">
        <f>COUNTIFS(Trainee!$E$5:$F$51, C84) + COUNTIFS(Trainee!$D$56:$D$57, C84)</f>
        <v>0</v>
      </c>
      <c r="I84" s="210">
        <f>COUNTIF(Trainee!$H$5:$I$51, C84)</f>
        <v>0</v>
      </c>
      <c r="J84" s="208">
        <f t="shared" si="0"/>
        <v>0</v>
      </c>
      <c r="K84" s="211">
        <f>SUM(MAX(G84 - M84, 0)*2 + MAX(H84 - N84 - O84, 0)*2 + MAX(I84 - P84, 0)*2 + M84*5 + N84*5 + O84*3 + P84*3)</f>
        <v>0</v>
      </c>
      <c r="M84" s="212">
        <f>COUNTIF(Trainee!$C$56:$C$57, C84)</f>
        <v>0</v>
      </c>
      <c r="N84" s="212">
        <f>COUNTIF(Trainee!$D$56:$D$57, C84)</f>
        <v>0</v>
      </c>
      <c r="O84" s="212">
        <f>COUNTIFS(Trainee!$E$10:$F$10, C84) + COUNTIFS(Trainee!$E$31:$F$31, C84) + COUNTIFS(Trainee!$E$41:$F$41, C84) + COUNTIFS(Trainee!$E$51:$F54, C84)</f>
        <v>0</v>
      </c>
      <c r="P84" s="212">
        <f>COUNTIFS(Trainee!$H$10:$I$10, C84) + COUNTIFS(Trainee!$H$31:$I$31, C84) + COUNTIFS(Trainee!$H$41:$I$41, C84) + COUNTIFS(Trainee!$H$51:$I53, C84)</f>
        <v>0</v>
      </c>
    </row>
    <row r="85" spans="3:16" ht="18.75" customHeight="1">
      <c r="C85" s="261" t="s">
        <v>77</v>
      </c>
      <c r="D85" s="178"/>
      <c r="E85" s="178"/>
      <c r="F85" s="178"/>
      <c r="G85" s="174">
        <f>COUNTIFS(Trainee!$C$5:$C$57, C85) + COUNTIFS(Trainee!$D$5:$D$51, C85)</f>
        <v>1</v>
      </c>
      <c r="H85" s="174">
        <f>COUNTIFS(Trainee!$E$5:$F$51, C85) + COUNTIFS(Trainee!$D$56:$D$57, C85)</f>
        <v>1</v>
      </c>
      <c r="I85" s="174">
        <f>COUNTIF(Trainee!$H$5:$I$51, C85)</f>
        <v>1</v>
      </c>
      <c r="J85" s="208">
        <f t="shared" si="0"/>
        <v>3</v>
      </c>
      <c r="K85" s="176">
        <f>SUM(MAX(G85 - M85, 0)*2 + MAX(H85 - N85 - O85, 0)*2 + MAX(I85 - P85, 0)*2 + M85*5 + N85*5 + O85*3 + P85*3)</f>
        <v>6</v>
      </c>
      <c r="M85" s="177">
        <f>COUNTIF(Trainee!$C$56:$C$57, C85)</f>
        <v>0</v>
      </c>
      <c r="N85" s="177">
        <f>COUNTIF(Trainee!$D$56:$D$57, C85)</f>
        <v>0</v>
      </c>
      <c r="O85" s="177">
        <f>COUNTIFS(Trainee!$E$10:$F$10, C85) + COUNTIFS(Trainee!$E$31:$F$31, C85) + COUNTIFS(Trainee!$E$41:$F$41, C85) + COUNTIFS(Trainee!$E$51:$F55, C85)</f>
        <v>0</v>
      </c>
      <c r="P85" s="177">
        <f>COUNTIFS(Trainee!$H$10:$I$10, C85) + COUNTIFS(Trainee!$H$31:$I$31, C85) + COUNTIFS(Trainee!$H$41:$I$41, C85) + COUNTIFS(Trainee!$H$51:$I53, C85)</f>
        <v>0</v>
      </c>
    </row>
    <row r="86" spans="3:16" ht="18.75" customHeight="1">
      <c r="C86" s="261" t="s">
        <v>89</v>
      </c>
      <c r="D86" s="178"/>
      <c r="E86" s="178"/>
      <c r="F86" s="178"/>
      <c r="G86" s="174">
        <f>COUNTIFS(Trainee!$C$5:$C$57, C86) + COUNTIFS(Trainee!$D$5:$D$51, C86)</f>
        <v>2</v>
      </c>
      <c r="H86" s="174">
        <f>COUNTIFS(Trainee!$E$5:$F$51, C86) + COUNTIFS(Trainee!$D$56:$D$59, C86)</f>
        <v>2</v>
      </c>
      <c r="I86" s="174">
        <f>COUNTIF(Trainee!$H$5:$I$51, C86)</f>
        <v>3</v>
      </c>
      <c r="J86" s="175">
        <f t="shared" si="0"/>
        <v>7</v>
      </c>
      <c r="K86" s="176">
        <f>SUM(MAX(G86 - M86, 0)*2 + MAX(H86 - N86 - O86, 0)*2 + MAX(I86 - P86, 0)*2 + M86*5 + N86*5 + O86*3 + P86*3)</f>
        <v>15</v>
      </c>
      <c r="M86" s="177">
        <f>COUNTIF(Trainee!$C$56:$C$57, C86)</f>
        <v>0</v>
      </c>
      <c r="N86" s="177">
        <f>COUNTIF(Trainee!$D$56:$D$57, C86)</f>
        <v>0</v>
      </c>
      <c r="O86" s="177">
        <f>COUNTIFS(Trainee!$E$10:$F$10, C86) + COUNTIFS(Trainee!$E$31:$F$31, C86) + COUNTIFS(Trainee!$E$41:$F$41, C86) + COUNTIFS(Trainee!$E$51:$F56, C86)</f>
        <v>0</v>
      </c>
      <c r="P86" s="177">
        <f>COUNTIFS(Trainee!$H$10:$I$10, C86) + COUNTIFS(Trainee!$H$31:$I$31, C86) + COUNTIFS(Trainee!$H$41:$I$41, C86) + COUNTIFS(Trainee!$H$51:$I53, C86)</f>
        <v>1</v>
      </c>
    </row>
    <row r="87" spans="3:16" ht="18.75" customHeight="1">
      <c r="C87" s="261" t="s">
        <v>99</v>
      </c>
      <c r="D87" s="178"/>
      <c r="E87" s="178"/>
      <c r="F87" s="178"/>
      <c r="G87" s="174">
        <f>COUNTIFS(Trainee!$C$5:$C$57, C87) + COUNTIFS(Trainee!$D$5:$D$51, C87)</f>
        <v>2</v>
      </c>
      <c r="H87" s="174">
        <f>COUNTIFS(Trainee!$E$5:$F$51, C87) + COUNTIFS(Trainee!$D$56:$D$57, C87)</f>
        <v>1</v>
      </c>
      <c r="I87" s="174">
        <f>COUNTIF(Trainee!$H$5:$I$51, C87)</f>
        <v>1</v>
      </c>
      <c r="J87" s="208">
        <f t="shared" si="0"/>
        <v>4</v>
      </c>
      <c r="K87" s="176">
        <f>SUM(MAX(G87 - M87, 0)*2 + MAX(H87 - N87 - O87, 0)*2 + MAX(I87 - P87, 0)*2 + M87*5 + N87*5 + O87*3 + P87*3)</f>
        <v>8</v>
      </c>
      <c r="M87" s="177">
        <f>COUNTIF(Trainee!$C$56:$C$57, C87)</f>
        <v>0</v>
      </c>
      <c r="N87" s="177">
        <f>COUNTIF(Trainee!$D$56:$D$57, C87)</f>
        <v>0</v>
      </c>
      <c r="O87" s="177">
        <f>COUNTIFS(Trainee!$E$10:$F$10, C87) + COUNTIFS(Trainee!$E$31:$F$31, C87) + COUNTIFS(Trainee!$E$41:$F$41, C87) + COUNTIFS(Trainee!$E$51:$F57, C87)</f>
        <v>0</v>
      </c>
      <c r="P87" s="177">
        <f>COUNTIFS(Trainee!$H$10:$I$10, C87) + COUNTIFS(Trainee!$H$31:$I$31, C87) + COUNTIFS(Trainee!$H$41:$I$41, C87) + COUNTIFS(Trainee!$H$51:$I53, C87)</f>
        <v>0</v>
      </c>
    </row>
    <row r="88" spans="3:16" ht="18.75" customHeight="1">
      <c r="C88" s="261" t="s">
        <v>95</v>
      </c>
      <c r="D88" s="178"/>
      <c r="E88" s="178"/>
      <c r="F88" s="178"/>
      <c r="G88" s="174">
        <f>COUNTIFS(Trainee!$C$5:$C$57, C88) + COUNTIFS(Trainee!$D$5:$D$51, C88)</f>
        <v>1</v>
      </c>
      <c r="H88" s="174">
        <f>COUNTIFS(Trainee!$E$5:$F$51, C88) + COUNTIFS(Trainee!$D$56:$D$57, C88)</f>
        <v>3</v>
      </c>
      <c r="I88" s="174">
        <f>COUNTIF(Trainee!$H$5:$I$51, C88)</f>
        <v>2</v>
      </c>
      <c r="J88" s="175">
        <f t="shared" si="0"/>
        <v>6</v>
      </c>
      <c r="K88" s="176">
        <f>SUM(MAX(G88 - M88, 0)*2 + MAX(H88 - N88 - O88, 0)*2 + MAX(I88 - P88, 0)*2 + M88*5 + N88*5 + O88*3 + P88*3)</f>
        <v>12</v>
      </c>
      <c r="M88" s="177">
        <f>COUNTIF(Trainee!$C$56:$C$57, C88)</f>
        <v>0</v>
      </c>
      <c r="N88" s="177">
        <f>COUNTIF(Trainee!$D$56:$D$57, C88)</f>
        <v>0</v>
      </c>
      <c r="O88" s="177">
        <f>COUNTIFS(Trainee!$E$10:$F$10, C88) + COUNTIFS(Trainee!$E$31:$F$31, C88) + COUNTIFS(Trainee!$E$41:$F$41, C88) + COUNTIFS(Trainee!$E$51:$F58, C88)</f>
        <v>0</v>
      </c>
      <c r="P88" s="177">
        <f>COUNTIFS(Trainee!$H$10:$I$10, C88) + COUNTIFS(Trainee!$H$31:$I$31, C88) + COUNTIFS(Trainee!$H$41:$I$41, C88) + COUNTIFS(Trainee!$H$51:$I53, C88)</f>
        <v>0</v>
      </c>
    </row>
    <row r="89" spans="3:16" s="190" customFormat="1" ht="18.75" customHeight="1">
      <c r="C89" s="260" t="s">
        <v>299</v>
      </c>
      <c r="D89" s="213"/>
      <c r="E89" s="213"/>
      <c r="F89" s="213"/>
      <c r="G89" s="210">
        <f>COUNTIFS(Trainee!$C$5:$C$57, C89) + COUNTIFS(Trainee!$D$5:$D$51, C89)</f>
        <v>0</v>
      </c>
      <c r="H89" s="210">
        <f>COUNTIFS(Trainee!$E$5:$F$51, C89) + COUNTIFS(Trainee!$D$56:$D$57, C89)</f>
        <v>0</v>
      </c>
      <c r="I89" s="210">
        <f>COUNTIF(Trainee!$H$5:$I$51, C89)</f>
        <v>0</v>
      </c>
      <c r="J89" s="208">
        <f t="shared" si="0"/>
        <v>0</v>
      </c>
      <c r="K89" s="211">
        <f>SUM(MAX(G89 - M89, 0)*2 + MAX(H89 - N89 - O89, 0)*2 + MAX(I89 - P89, 0)*2 + M89*5 + N89*5 + O89*3 + P89*3)</f>
        <v>0</v>
      </c>
      <c r="M89" s="212">
        <f>COUNTIF(Trainee!$C$56:$C$57, C89)</f>
        <v>0</v>
      </c>
      <c r="N89" s="212">
        <f>COUNTIF(Trainee!$D$56:$D$57, C89)</f>
        <v>0</v>
      </c>
      <c r="O89" s="212">
        <f>COUNTIFS(Trainee!$E$10:$F$10, C89) + COUNTIFS(Trainee!$E$31:$F$31, C89) + COUNTIFS(Trainee!$E$41:$F$41, C89) + COUNTIFS(Trainee!$E$51:$F59, C89)</f>
        <v>0</v>
      </c>
      <c r="P89" s="212">
        <f>COUNTIFS(Trainee!$H$10:$I$10, C89) + COUNTIFS(Trainee!$H$31:$I$31, C89) + COUNTIFS(Trainee!$H$41:$I$41, C89) + COUNTIFS(Trainee!$H$51:$I59, C89)</f>
        <v>0</v>
      </c>
    </row>
    <row r="90" spans="3:16" s="190" customFormat="1" ht="18.75" customHeight="1">
      <c r="C90" s="259" t="s">
        <v>300</v>
      </c>
      <c r="D90" s="213"/>
      <c r="E90" s="213"/>
      <c r="F90" s="213"/>
      <c r="G90" s="210">
        <f>COUNTIFS(Trainee!$C$5:$C$57, C90) + COUNTIFS(Trainee!$D$5:$D$51, C90)</f>
        <v>0</v>
      </c>
      <c r="H90" s="210">
        <f>COUNTIFS(Trainee!$E$5:$F$51, C90) + COUNTIFS(Trainee!$D$56:$D$57, C90)</f>
        <v>0</v>
      </c>
      <c r="I90" s="210">
        <f>COUNTIF(Trainee!$H$5:$I$51, C90)</f>
        <v>0</v>
      </c>
      <c r="J90" s="208">
        <f t="shared" si="0"/>
        <v>0</v>
      </c>
      <c r="K90" s="211">
        <f>SUM(MAX(G90 - M90, 0)*2 + MAX(H90 - N90 - O90, 0)*2 + MAX(I90 - P90, 0)*2 + M90*5 + N90*5 + O90*3 + P90*3)</f>
        <v>0</v>
      </c>
      <c r="M90" s="212">
        <f>COUNTIF(Trainee!$C$56:$C$57, C90)</f>
        <v>0</v>
      </c>
      <c r="N90" s="212">
        <f>COUNTIF(Trainee!$D$56:$D$57, C90)</f>
        <v>0</v>
      </c>
      <c r="O90" s="212">
        <f>COUNTIFS(Trainee!$E$10:$F$10, C90) + COUNTIFS(Trainee!$E$31:$F$31, C90) + COUNTIFS(Trainee!$E$41:$F$41, C90) + COUNTIFS(Trainee!$E$51:$F60, C90)</f>
        <v>0</v>
      </c>
      <c r="P90" s="212">
        <f>COUNTIFS(Trainee!$H$10:$I$10, C90) + COUNTIFS(Trainee!$H$31:$I$31, C90) + COUNTIFS(Trainee!$H$41:$I$41, C90) + COUNTIFS(Trainee!$H$51:$I60, C90)</f>
        <v>0</v>
      </c>
    </row>
    <row r="91" spans="3:16" ht="18.75" customHeight="1">
      <c r="C91" s="261" t="s">
        <v>78</v>
      </c>
      <c r="D91" s="178"/>
      <c r="E91" s="178"/>
      <c r="F91" s="178"/>
      <c r="G91" s="174">
        <f>COUNTIFS(Trainee!$C$5:$C$57, C91) + COUNTIFS(Trainee!$D$5:$D$51, C91)</f>
        <v>1</v>
      </c>
      <c r="H91" s="174">
        <f>COUNTIFS(Trainee!$E$5:$F$51, C91) + COUNTIFS(Trainee!$D$56:$D$57, C91)</f>
        <v>1</v>
      </c>
      <c r="I91" s="174">
        <f>COUNTIF(Trainee!$H$5:$I$51, C91)</f>
        <v>1</v>
      </c>
      <c r="J91" s="207">
        <f t="shared" si="0"/>
        <v>3</v>
      </c>
      <c r="K91" s="176">
        <f>SUM(MAX(G91 - M91, 0)*2 + MAX(H91 - N91 - O91, 0)*2 + MAX(I91 - P91, 0)*2 + M91*5 + N91*5 + O91*3 + P91*3)</f>
        <v>6</v>
      </c>
      <c r="M91" s="177">
        <f>COUNTIF(Trainee!$C$56:$C$57, C91)</f>
        <v>0</v>
      </c>
      <c r="N91" s="177">
        <f>COUNTIF(Trainee!$D$56:$D$57, C91)</f>
        <v>0</v>
      </c>
      <c r="O91" s="177">
        <f>COUNTIFS(Trainee!$E$10:$F$10, C91) + COUNTIFS(Trainee!$E$31:$F$31, C91) + COUNTIFS(Trainee!$E$41:$F$41, C91) + COUNTIFS(Trainee!$E$51:$F61, C91)</f>
        <v>0</v>
      </c>
      <c r="P91" s="177">
        <f>COUNTIFS(Trainee!$H$10:$I$10, C91) + COUNTIFS(Trainee!$H$31:$I$31, C91) + COUNTIFS(Trainee!$H$41:$I$41, C91) + COUNTIFS(Trainee!$H$51:$I61, C91)</f>
        <v>0</v>
      </c>
    </row>
    <row r="92" spans="3:16" ht="18.75" customHeight="1">
      <c r="C92" s="261" t="s">
        <v>85</v>
      </c>
      <c r="D92" s="178"/>
      <c r="E92" s="178"/>
      <c r="F92" s="178"/>
      <c r="G92" s="174">
        <f>COUNTIFS(Trainee!$C$5:$C$57, C92) + COUNTIFS(Trainee!$D$5:$D$51, C92)</f>
        <v>3</v>
      </c>
      <c r="H92" s="174">
        <f>COUNTIFS(Trainee!$E$5:$F$51, C92) + COUNTIFS(Trainee!$D$56:$D$57, C92)</f>
        <v>2</v>
      </c>
      <c r="I92" s="174">
        <f>COUNTIF(Trainee!$H$5:$I$51, C92)</f>
        <v>2</v>
      </c>
      <c r="J92" s="175">
        <f t="shared" si="0"/>
        <v>7</v>
      </c>
      <c r="K92" s="176">
        <f>SUM(MAX(G92 - M92, 0)*2 + MAX(H92 - N92 - O92, 0)*2 + MAX(I92 - P92, 0)*2 + M92*5 + N92*5 + O92*3 + P92*3)</f>
        <v>15</v>
      </c>
      <c r="M92" s="177">
        <f>COUNTIF(Trainee!$C$56:$C$57, C92)</f>
        <v>0</v>
      </c>
      <c r="N92" s="177">
        <f>COUNTIF(Trainee!$D$56:$D$57, C92)</f>
        <v>0</v>
      </c>
      <c r="O92" s="177">
        <f>COUNTIFS(Trainee!$E$10:$F$10, C92) + COUNTIFS(Trainee!$E$31:$F$31, C92) + COUNTIFS(Trainee!$E$41:$F$41, C92) + COUNTIFS(Trainee!$E$51:$F62, C92)</f>
        <v>1</v>
      </c>
      <c r="P92" s="177">
        <f>COUNTIFS(Trainee!$H$10:$I$10, C92) + COUNTIFS(Trainee!$H$31:$I$31, C92) + COUNTIFS(Trainee!$H$41:$I$41, C92) + COUNTIFS(Trainee!$H$51:$I62, C92)</f>
        <v>0</v>
      </c>
    </row>
    <row r="93" spans="3:16" ht="18.75" customHeight="1">
      <c r="C93" s="261" t="s">
        <v>90</v>
      </c>
      <c r="D93" s="178"/>
      <c r="E93" s="178"/>
      <c r="F93" s="178"/>
      <c r="G93" s="174">
        <f>COUNTIFS(Trainee!$C$5:$C$57, C93) + COUNTIFS(Trainee!$D$5:$D$51, C93)</f>
        <v>1</v>
      </c>
      <c r="H93" s="174">
        <f>COUNTIFS(Trainee!$E$5:$F$51, C93) + COUNTIFS(Trainee!$D$56:$D$57, C93)</f>
        <v>1</v>
      </c>
      <c r="I93" s="174">
        <f>COUNTIF(Trainee!$H$5:$I$51, C93)</f>
        <v>2</v>
      </c>
      <c r="J93" s="207">
        <f t="shared" si="0"/>
        <v>4</v>
      </c>
      <c r="K93" s="176">
        <f>SUM(MAX(G93 - M93, 0)*2 + MAX(H93 - N93 - O93, 0)*2 + MAX(I93 - P93, 0)*2 + M93*5 + N93*5 + O93*3 + P93*3)</f>
        <v>9</v>
      </c>
      <c r="M93" s="177">
        <f>COUNTIF(Trainee!$C$56:$C$57, C93)</f>
        <v>0</v>
      </c>
      <c r="N93" s="177">
        <f>COUNTIF(Trainee!$D$56:$D$57, C93)</f>
        <v>0</v>
      </c>
      <c r="O93" s="177">
        <f>COUNTIFS(Trainee!$E$10:$F$10, C93) + COUNTIFS(Trainee!$E$31:$F$31, C93) + COUNTIFS(Trainee!$E$41:$F$41, C93) + COUNTIFS(Trainee!$E$51:$F63, C93)</f>
        <v>1</v>
      </c>
      <c r="P93" s="177">
        <f>COUNTIFS(Trainee!$H$10:$I$10, C93) + COUNTIFS(Trainee!$H$31:$I$31, C93) + COUNTIFS(Trainee!$H$41:$I$41, C93) + COUNTIFS(Trainee!$H$51:$I63, C93)</f>
        <v>0</v>
      </c>
    </row>
    <row r="94" spans="3:16" ht="18.75" customHeight="1">
      <c r="C94" s="261" t="s">
        <v>84</v>
      </c>
      <c r="D94" s="178"/>
      <c r="E94" s="178"/>
      <c r="F94" s="178"/>
      <c r="G94" s="174">
        <f>COUNTIFS(Trainee!$C$5:$C$57, C94) + COUNTIFS(Trainee!$D$5:$D$51, C94)</f>
        <v>1</v>
      </c>
      <c r="H94" s="174">
        <f>COUNTIFS(Trainee!$E$5:$F$51, C94) + COUNTIFS(Trainee!$D$56:$D$57, C94)</f>
        <v>2</v>
      </c>
      <c r="I94" s="174">
        <f>COUNTIF(Trainee!$H$5:$I$51, C94)</f>
        <v>3</v>
      </c>
      <c r="J94" s="175">
        <f t="shared" si="0"/>
        <v>6</v>
      </c>
      <c r="K94" s="176">
        <f>SUM(MAX(G94 - M94, 0)*2 + MAX(H94 - N94 - O94, 0)*2 + MAX(I94 - P94, 0)*2 + M94*5 + N94*5 + O94*3 + P94*3)</f>
        <v>12</v>
      </c>
      <c r="M94" s="177">
        <f>COUNTIF(Trainee!$C$56:$C$57, C94)</f>
        <v>0</v>
      </c>
      <c r="N94" s="177">
        <f>COUNTIF(Trainee!$D$56:$D$57, C94)</f>
        <v>0</v>
      </c>
      <c r="O94" s="177">
        <f>COUNTIFS(Trainee!$E$10:$F$10, C94) + COUNTIFS(Trainee!$E$31:$F$31, C94) + COUNTIFS(Trainee!$E$41:$F$41, C94) + COUNTIFS(Trainee!$E$51:$F64, C94)</f>
        <v>0</v>
      </c>
      <c r="P94" s="177">
        <f>COUNTIFS(Trainee!$H$10:$I$10, C94) + COUNTIFS(Trainee!$H$31:$I$31, C94) + COUNTIFS(Trainee!$H$41:$I$41, C94) + COUNTIFS(Trainee!$H$51:$I64, C94)</f>
        <v>0</v>
      </c>
    </row>
    <row r="95" spans="3:16" s="190" customFormat="1" ht="18.75" customHeight="1">
      <c r="C95" s="262" t="s">
        <v>301</v>
      </c>
      <c r="D95" s="213"/>
      <c r="E95" s="213"/>
      <c r="F95" s="213"/>
      <c r="G95" s="210">
        <f>COUNTIFS(Trainee!$C$5:$C$57, C95) + COUNTIFS(Trainee!$D$5:$D$51, C95)</f>
        <v>0</v>
      </c>
      <c r="H95" s="210">
        <f>COUNTIFS(Trainee!$E$5:$F$51, C95) + COUNTIFS(Trainee!$D$56:$D$57, C95)</f>
        <v>0</v>
      </c>
      <c r="I95" s="210">
        <f>COUNTIF(Trainee!$H$5:$I$51, C95)</f>
        <v>0</v>
      </c>
      <c r="J95" s="208">
        <f t="shared" si="0"/>
        <v>0</v>
      </c>
      <c r="K95" s="211">
        <f>SUM(MAX(G95 - M95, 0)*2 + MAX(H95 - N95 - O95, 0)*2 + MAX(I95 - P95, 0)*2 + M95*5 + N95*5 + O95*3 + P95*3)</f>
        <v>0</v>
      </c>
      <c r="M95" s="212">
        <f>COUNTIF(Trainee!$C$56:$C$57, C95)</f>
        <v>0</v>
      </c>
      <c r="N95" s="212">
        <f>COUNTIF(Trainee!$D$56:$D$57, C95)</f>
        <v>0</v>
      </c>
      <c r="O95" s="212">
        <f>COUNTIFS(Trainee!$E$10:$F$10, C95) + COUNTIFS(Trainee!$E$31:$F$31, C95) + COUNTIFS(Trainee!$E$41:$F$41, C95) + COUNTIFS(Trainee!$E$51:$F65, C95)</f>
        <v>0</v>
      </c>
      <c r="P95" s="212">
        <f>COUNTIFS(Trainee!$H$10:$I$10, C95) + COUNTIFS(Trainee!$H$31:$I$31, C95) + COUNTIFS(Trainee!$H$41:$I$41, C95) + COUNTIFS(Trainee!$H$51:$I65, C95)</f>
        <v>0</v>
      </c>
    </row>
    <row r="96" spans="3:16" ht="18.75" customHeight="1">
      <c r="C96" s="261" t="s">
        <v>101</v>
      </c>
      <c r="D96" s="178"/>
      <c r="E96" s="178"/>
      <c r="F96" s="178"/>
      <c r="G96" s="174">
        <f>COUNTIFS(Trainee!$C$5:$C$57, C96) + COUNTIFS(Trainee!$D$5:$D$51, C96)</f>
        <v>1</v>
      </c>
      <c r="H96" s="174">
        <f>COUNTIFS(Trainee!$E$5:$F$51, C96) + COUNTIFS(Trainee!$D$56:$D$57, C96)</f>
        <v>1</v>
      </c>
      <c r="I96" s="174">
        <f>COUNTIF(Trainee!$H$5:$I$51, C96)</f>
        <v>1</v>
      </c>
      <c r="J96" s="207">
        <f t="shared" si="0"/>
        <v>3</v>
      </c>
      <c r="K96" s="176">
        <f>SUM(MAX(G96 - M96, 0)*2 + MAX(H96 - N96 - O96, 0)*2 + MAX(I96 - P96, 0)*2 + M96*5 + N96*5 + O96*3 + P96*3)</f>
        <v>6</v>
      </c>
      <c r="M96" s="177">
        <f>COUNTIF(Trainee!$C$56:$C$57, C96)</f>
        <v>0</v>
      </c>
      <c r="N96" s="177">
        <f>COUNTIF(Trainee!$D$56:$D$57, C96)</f>
        <v>0</v>
      </c>
      <c r="O96" s="177">
        <f>COUNTIFS(Trainee!$E$10:$F$10, C96) + COUNTIFS(Trainee!$E$31:$F$31, C96) + COUNTIFS(Trainee!$E$41:$F$41, C96) + COUNTIFS(Trainee!$E$51:$F66, C96)</f>
        <v>0</v>
      </c>
      <c r="P96" s="177">
        <f>COUNTIFS(Trainee!$H$10:$I$10, C96) + COUNTIFS(Trainee!$H$31:$I$31, C96) + COUNTIFS(Trainee!$H$41:$I$41, C96) + COUNTIFS(Trainee!$H$51:$I66, C96)</f>
        <v>0</v>
      </c>
    </row>
    <row r="97" spans="3:16" ht="18.75" customHeight="1">
      <c r="C97" s="261" t="s">
        <v>75</v>
      </c>
      <c r="D97" s="178"/>
      <c r="E97" s="178"/>
      <c r="F97" s="178"/>
      <c r="G97" s="174">
        <f>COUNTIFS(Trainee!$C$5:$C$57, C97) + COUNTIFS(Trainee!$D$5:$D$51, C97)</f>
        <v>1</v>
      </c>
      <c r="H97" s="174">
        <f>COUNTIFS(Trainee!$E$5:$F$51, C97) + COUNTIFS(Trainee!$D$56:$D$57, C97)</f>
        <v>3</v>
      </c>
      <c r="I97" s="174">
        <f>COUNTIF(Trainee!$H$5:$I$51, C97)</f>
        <v>2</v>
      </c>
      <c r="J97" s="175">
        <f t="shared" si="0"/>
        <v>6</v>
      </c>
      <c r="K97" s="176">
        <f>SUM(MAX(G97 - M97, 0)*2 + MAX(H97 - N97 - O97, 0)*2 + MAX(I97 - P97, 0)*2 + M97*5 + N97*5 + O97*3 + P97*3)</f>
        <v>13</v>
      </c>
      <c r="M97" s="177">
        <f>COUNTIF(Trainee!$C$56:$C$57, C97)</f>
        <v>0</v>
      </c>
      <c r="N97" s="177">
        <f>COUNTIF(Trainee!$D$56:$D$57, C97)</f>
        <v>0</v>
      </c>
      <c r="O97" s="177">
        <f>COUNTIFS(Trainee!$E$10:$F$10, C97) + COUNTIFS(Trainee!$E$31:$F$31, C97) + COUNTIFS(Trainee!$E$41:$F$41, C97) + COUNTIFS(Trainee!$E$51:$F67, C97)</f>
        <v>1</v>
      </c>
      <c r="P97" s="177">
        <f>COUNTIFS(Trainee!$H$10:$I$10, C97) + COUNTIFS(Trainee!$H$31:$I$31, C97) + COUNTIFS(Trainee!$H$41:$I$41, C97) + COUNTIFS(Trainee!$H$51:$I67, C97)</f>
        <v>0</v>
      </c>
    </row>
    <row r="98" spans="3:16" ht="18.75" customHeight="1">
      <c r="C98" s="261" t="s">
        <v>103</v>
      </c>
      <c r="D98" s="178"/>
      <c r="E98" s="178"/>
      <c r="F98" s="178"/>
      <c r="G98" s="174">
        <f>COUNTIFS(Trainee!$C$5:$C$57, C98) + COUNTIFS(Trainee!$D$5:$D$51, C98)</f>
        <v>1</v>
      </c>
      <c r="H98" s="174">
        <f>COUNTIFS(Trainee!$E$5:$F$51, C98) + COUNTIFS(Trainee!$D$56:$D$57, C98)</f>
        <v>3</v>
      </c>
      <c r="I98" s="174">
        <f>COUNTIF(Trainee!$H$5:$I$51, C98)</f>
        <v>1</v>
      </c>
      <c r="J98" s="175">
        <f t="shared" si="0"/>
        <v>5</v>
      </c>
      <c r="K98" s="176">
        <f>SUM(MAX(G98 - M98, 0)*2 + MAX(H98 - N98 - O98, 0)*2 + MAX(I98 - P98, 0)*2 + M98*5 + N98*5 + O98*3 + P98*3)</f>
        <v>14</v>
      </c>
      <c r="M98" s="177">
        <f>COUNTIF(Trainee!$C$56:$C$57, C98)</f>
        <v>0</v>
      </c>
      <c r="N98" s="177">
        <f>COUNTIF(Trainee!$D$56:$D$57, C98)</f>
        <v>1</v>
      </c>
      <c r="O98" s="177">
        <f>COUNTIFS(Trainee!$E$10:$F$10, C98) + COUNTIFS(Trainee!$E$31:$F$31, C98) + COUNTIFS(Trainee!$E$41:$F$41, C98) + COUNTIFS(Trainee!$E$51:$F68, C98)</f>
        <v>0</v>
      </c>
      <c r="P98" s="177">
        <f>COUNTIFS(Trainee!$H$10:$I$10, C98) + COUNTIFS(Trainee!$H$31:$I$31, C98) + COUNTIFS(Trainee!$H$41:$I$41, C98) + COUNTIFS(Trainee!$H$51:$I68, C98)</f>
        <v>1</v>
      </c>
    </row>
    <row r="99" spans="3:16" ht="18.75" customHeight="1">
      <c r="C99" s="261" t="s">
        <v>73</v>
      </c>
      <c r="D99" s="178"/>
      <c r="E99" s="178"/>
      <c r="F99" s="178"/>
      <c r="G99" s="174">
        <f>COUNTIFS(Trainee!$C$5:$C$57, C99) + COUNTIFS(Trainee!$D$5:$D$51, C99)</f>
        <v>2</v>
      </c>
      <c r="H99" s="174">
        <f>COUNTIFS(Trainee!$E$5:$F$51, C99) + COUNTIFS(Trainee!$D$56:$D$57, C99)</f>
        <v>1</v>
      </c>
      <c r="I99" s="174">
        <f>COUNTIF(Trainee!$H$5:$I$51, C99)</f>
        <v>1</v>
      </c>
      <c r="J99" s="175">
        <f t="shared" si="0"/>
        <v>4</v>
      </c>
      <c r="K99" s="176">
        <f>SUM(MAX(G99 - M99, 0)*2 + MAX(H99 - N99 - O99, 0)*2 + MAX(I99 - P99, 0)*2 + M99*5 + N99*5 + O99*3 + P99*3)</f>
        <v>8</v>
      </c>
      <c r="M99" s="177">
        <f>COUNTIF(Trainee!$C$56:$C$57, C99)</f>
        <v>0</v>
      </c>
      <c r="N99" s="177">
        <f>COUNTIF(Trainee!$D$56:$D$57, C99)</f>
        <v>0</v>
      </c>
      <c r="O99" s="177">
        <f>COUNTIFS(Trainee!$E$10:$F$10, C99) + COUNTIFS(Trainee!$E$31:$F$31, C99) + COUNTIFS(Trainee!$E$41:$F$41, C99) + COUNTIFS(Trainee!$E$51:$F69, C99)</f>
        <v>0</v>
      </c>
      <c r="P99" s="177">
        <f>COUNTIFS(Trainee!$H$10:$I$10, C99) + COUNTIFS(Trainee!$H$31:$I$31, C99) + COUNTIFS(Trainee!$H$41:$I$41, C99) + COUNTIFS(Trainee!$H$51:$I69, C99)</f>
        <v>0</v>
      </c>
    </row>
    <row r="100" spans="3:16" s="190" customFormat="1" ht="18.75" customHeight="1">
      <c r="C100" s="260" t="s">
        <v>302</v>
      </c>
      <c r="D100" s="213"/>
      <c r="E100" s="213"/>
      <c r="F100" s="213"/>
      <c r="G100" s="210">
        <f>COUNTIFS(Trainee!$C$5:$C$57, C100) + COUNTIFS(Trainee!$D$5:$D$51, C100)</f>
        <v>0</v>
      </c>
      <c r="H100" s="210">
        <f>COUNTIFS(Trainee!$E$5:$F$51, C100) + COUNTIFS(Trainee!$D$56:$D$57, C100)</f>
        <v>0</v>
      </c>
      <c r="I100" s="210">
        <f>COUNTIF(Trainee!$H$5:$I$51, C100)</f>
        <v>0</v>
      </c>
      <c r="J100" s="208">
        <f t="shared" si="0"/>
        <v>0</v>
      </c>
      <c r="K100" s="211">
        <f>SUM(MAX(G100 - M100, 0)*2 + MAX(H100 - N100 - O100, 0)*2 + MAX(I100 - P100, 0)*2 + M100*5 + N100*5 + O100*3 + P100*3)</f>
        <v>0</v>
      </c>
      <c r="M100" s="212">
        <f>COUNTIF(Trainee!$C$56:$C$57, C100)</f>
        <v>0</v>
      </c>
      <c r="N100" s="212">
        <f>COUNTIF(Trainee!$D$56:$D$57, C100)</f>
        <v>0</v>
      </c>
      <c r="O100" s="212">
        <f>COUNTIFS(Trainee!$E$10:$F$10, C100) + COUNTIFS(Trainee!$E$31:$F$31, C100) + COUNTIFS(Trainee!$E$41:$F$41, C100) + COUNTIFS(Trainee!$E$51:$F70, C100)</f>
        <v>0</v>
      </c>
      <c r="P100" s="212">
        <f>COUNTIFS(Trainee!$H$10:$I$10, C100) + COUNTIFS(Trainee!$H$31:$I$31, C100) + COUNTIFS(Trainee!$H$41:$I$41, C100) + COUNTIFS(Trainee!$H$51:$I70, C100)</f>
        <v>0</v>
      </c>
    </row>
    <row r="101" spans="3:16" s="190" customFormat="1" ht="18.75" customHeight="1">
      <c r="C101" s="260" t="s">
        <v>303</v>
      </c>
      <c r="D101" s="213"/>
      <c r="E101" s="213"/>
      <c r="F101" s="213"/>
      <c r="G101" s="210">
        <f>COUNTIFS(Trainee!$C$5:$C$57, C101) + COUNTIFS(Trainee!$D$5:$D$51, C101)</f>
        <v>0</v>
      </c>
      <c r="H101" s="210">
        <f>COUNTIFS(Trainee!$E$5:$F$51, C101) + COUNTIFS(Trainee!$D$56:$D$57, C101)</f>
        <v>0</v>
      </c>
      <c r="I101" s="210">
        <f>COUNTIF(Trainee!$H$5:$I$51, C101)</f>
        <v>0</v>
      </c>
      <c r="J101" s="208">
        <f t="shared" si="0"/>
        <v>0</v>
      </c>
      <c r="K101" s="211">
        <f>SUM(MAX(G101 - M101, 0)*2 + MAX(H101 - N101 - O101, 0)*2 + MAX(I101 - P101, 0)*2 + M101*5 + N101*5 + O101*3 + P101*3)</f>
        <v>0</v>
      </c>
      <c r="M101" s="212">
        <f>COUNTIF(Trainee!$C$56:$C$57, C101)</f>
        <v>0</v>
      </c>
      <c r="N101" s="212">
        <f>COUNTIF(Trainee!$D$56:$D$57, C101)</f>
        <v>0</v>
      </c>
      <c r="O101" s="212">
        <f>COUNTIFS(Trainee!$E$10:$F$10, C101) + COUNTIFS(Trainee!$E$31:$F$31, C101) + COUNTIFS(Trainee!$E$41:$F$41, C101) + COUNTIFS(Trainee!$E$51:$F71, C101)</f>
        <v>0</v>
      </c>
      <c r="P101" s="212">
        <f>COUNTIFS(Trainee!$H$10:$I$10, C101) + COUNTIFS(Trainee!$H$31:$I$31, C101) + COUNTIFS(Trainee!$H$41:$I$41, C101) + COUNTIFS(Trainee!$H$51:$I71, C101)</f>
        <v>0</v>
      </c>
    </row>
    <row r="102" spans="3:16" ht="18.75" customHeight="1">
      <c r="C102" s="261" t="s">
        <v>98</v>
      </c>
      <c r="D102" s="178"/>
      <c r="E102" s="178"/>
      <c r="F102" s="178"/>
      <c r="G102" s="174">
        <f>COUNTIFS(Trainee!$C$5:$C$57, C102) + COUNTIFS(Trainee!$D$5:$D$51, C102)</f>
        <v>1</v>
      </c>
      <c r="H102" s="174">
        <f>COUNTIFS(Trainee!$E$5:$F$51, C102) + COUNTIFS(Trainee!$D$56:$D$57, C102)</f>
        <v>3</v>
      </c>
      <c r="I102" s="174">
        <f>COUNTIF(Trainee!$H$5:$I$51, C102)</f>
        <v>2</v>
      </c>
      <c r="J102" s="175">
        <f t="shared" si="0"/>
        <v>6</v>
      </c>
      <c r="K102" s="176">
        <f>SUM(MAX(G102 - M102, 0)*2 + MAX(H102 - N102 - O102, 0)*2 + MAX(I102 - P102, 0)*2 + M102*5 + N102*5 + O102*3 + P102*3)</f>
        <v>13</v>
      </c>
      <c r="M102" s="177">
        <f>COUNTIF(Trainee!$C$56:$C$57, C102)</f>
        <v>0</v>
      </c>
      <c r="N102" s="177">
        <f>COUNTIF(Trainee!$D$56:$D$57, C102)</f>
        <v>0</v>
      </c>
      <c r="O102" s="177">
        <f>COUNTIFS(Trainee!$E$10:$F$10, C102) + COUNTIFS(Trainee!$E$31:$F$31, C102) + COUNTIFS(Trainee!$E$41:$F$41, C102) + COUNTIFS(Trainee!$E$51:$F72, C102)</f>
        <v>0</v>
      </c>
      <c r="P102" s="177">
        <f>COUNTIFS(Trainee!$H$10:$I$10, C102) + COUNTIFS(Trainee!$H$31:$I$31, C102) + COUNTIFS(Trainee!$H$41:$I$41, C102) + COUNTIFS(Trainee!$H$51:$I72, C102)</f>
        <v>1</v>
      </c>
    </row>
    <row r="103" spans="3:16" s="190" customFormat="1" ht="18.75" customHeight="1">
      <c r="C103" s="262" t="s">
        <v>304</v>
      </c>
      <c r="D103" s="213"/>
      <c r="E103" s="213"/>
      <c r="F103" s="213"/>
      <c r="G103" s="210">
        <f>COUNTIFS(Trainee!$C$5:$C$57, C103) + COUNTIFS(Trainee!$D$5:$D$51, C103)</f>
        <v>0</v>
      </c>
      <c r="H103" s="210">
        <f>COUNTIFS(Trainee!$E$5:$F$51, C103) + COUNTIFS(Trainee!$D$56:$D$57, C103)</f>
        <v>0</v>
      </c>
      <c r="I103" s="210">
        <f>COUNTIF(Trainee!$H$5:$I$51, C103)</f>
        <v>0</v>
      </c>
      <c r="J103" s="208">
        <f t="shared" si="0"/>
        <v>0</v>
      </c>
      <c r="K103" s="211">
        <f>SUM(MAX(G103 - M103, 0)*2 + MAX(H103 - N103 - O103, 0)*2 + MAX(I103 - P103, 0)*2 + M103*5 + N103*5 + O103*3 + P103*3)</f>
        <v>0</v>
      </c>
      <c r="M103" s="212">
        <f>COUNTIF(Trainee!$C$56:$C$57, C103)</f>
        <v>0</v>
      </c>
      <c r="N103" s="212">
        <f>COUNTIF(Trainee!$D$56:$D$57, C103)</f>
        <v>0</v>
      </c>
      <c r="O103" s="212">
        <f>COUNTIFS(Trainee!$E$10:$F$10, C103) + COUNTIFS(Trainee!$E$31:$F$31, C103) + COUNTIFS(Trainee!$E$41:$F$41, C103) + COUNTIFS(Trainee!$E$51:$F73, C103)</f>
        <v>0</v>
      </c>
      <c r="P103" s="212">
        <f>COUNTIFS(Trainee!$H$10:$I$10, C103) + COUNTIFS(Trainee!$H$31:$I$31, C103) + COUNTIFS(Trainee!$H$41:$I$41, C103) + COUNTIFS(Trainee!$H$51:$I73, C103)</f>
        <v>0</v>
      </c>
    </row>
    <row r="104" spans="3:16" ht="18.75" customHeight="1">
      <c r="C104" s="261" t="s">
        <v>81</v>
      </c>
      <c r="D104" s="178"/>
      <c r="E104" s="178"/>
      <c r="F104" s="178"/>
      <c r="G104" s="174">
        <f>COUNTIFS(Trainee!$C$5:$C$57, C104) + COUNTIFS(Trainee!$D$5:$D$51, C104)</f>
        <v>1</v>
      </c>
      <c r="H104" s="174">
        <f>COUNTIFS(Trainee!$E$5:$F$51, C104) + COUNTIFS(Trainee!$D$56:$D$57, C104)</f>
        <v>3</v>
      </c>
      <c r="I104" s="174">
        <f>COUNTIF(Trainee!$H$5:$I$51, C104)</f>
        <v>3</v>
      </c>
      <c r="J104" s="175">
        <f t="shared" si="0"/>
        <v>7</v>
      </c>
      <c r="K104" s="176">
        <f>SUM(MAX(G104 - M104, 0)*2 + MAX(H104 - N104 - O104, 0)*2 + MAX(I104 - P104, 0)*2 + M104*5 + N104*5 + O104*3 + P104*3)</f>
        <v>15</v>
      </c>
      <c r="M104" s="177">
        <f>COUNTIF(Trainee!$C$56:$C$57, C104)</f>
        <v>0</v>
      </c>
      <c r="N104" s="177">
        <f>COUNTIF(Trainee!$D$56:$D$57, C104)</f>
        <v>0</v>
      </c>
      <c r="O104" s="177">
        <f>COUNTIFS(Trainee!$E$10:$F$10, C104) + COUNTIFS(Trainee!$E$31:$F$31, C104) + COUNTIFS(Trainee!$E$41:$F$41, C104) + COUNTIFS(Trainee!$E$51:$F74, C104)</f>
        <v>1</v>
      </c>
      <c r="P104" s="177">
        <f>COUNTIFS(Trainee!$H$10:$I$10, C104) + COUNTIFS(Trainee!$H$31:$I$31, C104) + COUNTIFS(Trainee!$H$41:$I$41, C104) + COUNTIFS(Trainee!$H$51:$I74, C104)</f>
        <v>0</v>
      </c>
    </row>
    <row r="105" spans="3:16" s="190" customFormat="1" ht="18.75" customHeight="1">
      <c r="C105" s="259" t="s">
        <v>305</v>
      </c>
      <c r="D105" s="213"/>
      <c r="E105" s="213"/>
      <c r="F105" s="213"/>
      <c r="G105" s="210">
        <f>COUNTIFS(Trainee!$C$5:$C$57, C105) + COUNTIFS(Trainee!$D$5:$D$51, C105)</f>
        <v>0</v>
      </c>
      <c r="H105" s="210">
        <f>COUNTIFS(Trainee!$E$5:$F$51, C105) + COUNTIFS(Trainee!$D$56:$D$57, C105)</f>
        <v>0</v>
      </c>
      <c r="I105" s="210">
        <f>COUNTIF(Trainee!$H$5:$I$51, C105)</f>
        <v>0</v>
      </c>
      <c r="J105" s="208">
        <f t="shared" si="0"/>
        <v>0</v>
      </c>
      <c r="K105" s="211">
        <f>SUM(MAX(G105 - M105, 0)*2 + MAX(H105 - N105 - O105, 0)*2 + MAX(I105 - P105, 0)*2 + M105*5 + N105*5 + O105*3 + P105*3)</f>
        <v>0</v>
      </c>
      <c r="M105" s="212">
        <f>COUNTIF(Trainee!$C$56:$C$57, C105)</f>
        <v>0</v>
      </c>
      <c r="N105" s="212">
        <f>COUNTIF(Trainee!$D$56:$D$57, C105)</f>
        <v>0</v>
      </c>
      <c r="O105" s="212">
        <f>COUNTIFS(Trainee!$E$10:$F$10, C105) + COUNTIFS(Trainee!$E$31:$F$31, C105) + COUNTIFS(Trainee!$E$41:$F$41, C105) + COUNTIFS(Trainee!$E$51:$F75, C105)</f>
        <v>0</v>
      </c>
      <c r="P105" s="212">
        <f>COUNTIFS(Trainee!$H$10:$I$10, C105) + COUNTIFS(Trainee!$H$31:$I$31, C105) + COUNTIFS(Trainee!$H$41:$I$41, C105) + COUNTIFS(Trainee!$H$51:$I75, C105)</f>
        <v>0</v>
      </c>
    </row>
    <row r="106" spans="3:16" ht="18.75" customHeight="1">
      <c r="C106" s="261" t="s">
        <v>93</v>
      </c>
      <c r="D106" s="178"/>
      <c r="E106" s="178"/>
      <c r="F106" s="178"/>
      <c r="G106" s="210">
        <f>COUNTIFS(Trainee!$C$5:$C$57, C106) + COUNTIFS(Trainee!$D$5:$D$51, C106)</f>
        <v>3</v>
      </c>
      <c r="H106" s="210">
        <f>COUNTIFS(Trainee!$E$5:$F$51, C106) + COUNTIFS(Trainee!$D$56:$D$57, C106)</f>
        <v>1</v>
      </c>
      <c r="I106" s="210">
        <f>COUNTIF(Trainee!$H$5:$I$51, C106)</f>
        <v>0</v>
      </c>
      <c r="J106" s="175">
        <f t="shared" si="0"/>
        <v>4</v>
      </c>
      <c r="K106" s="176">
        <f>SUM(MAX(G106 - M106, 0)*2 + MAX(H106 - N106 - O106, 0)*2 + MAX(I106 - P106, 0)*2 + M106*5 + N106*5 + O106*3 + P106*3)</f>
        <v>11</v>
      </c>
      <c r="M106" s="177">
        <f>COUNTIF(Trainee!$C$56:$C$57, C106)</f>
        <v>1</v>
      </c>
      <c r="N106" s="177">
        <f>COUNTIF(Trainee!$D$56:$D$57, C106)</f>
        <v>0</v>
      </c>
      <c r="O106" s="177">
        <f>COUNTIFS(Trainee!$E$10:$F$10, C106) + COUNTIFS(Trainee!$E$31:$F$31, C106) + COUNTIFS(Trainee!$E$41:$F$41, C106) + COUNTIFS(Trainee!$E$51:$F76, C106)</f>
        <v>0</v>
      </c>
      <c r="P106" s="177">
        <f>COUNTIFS(Trainee!$H$10:$I$10, C106) + COUNTIFS(Trainee!$H$31:$I$31, C106) + COUNTIFS(Trainee!$H$41:$I$41, C106) + COUNTIFS(Trainee!$H$51:$I76, C106)</f>
        <v>0</v>
      </c>
    </row>
    <row r="107" spans="3:16" s="190" customFormat="1" ht="18.75" customHeight="1">
      <c r="C107" s="262" t="s">
        <v>306</v>
      </c>
      <c r="D107" s="213"/>
      <c r="E107" s="213"/>
      <c r="F107" s="213"/>
      <c r="G107" s="210">
        <f>COUNTIFS(Trainee!$C$5:$C$57, C107) + COUNTIFS(Trainee!$D$5:$D$51, C107)</f>
        <v>0</v>
      </c>
      <c r="H107" s="210">
        <f>COUNTIFS(Trainee!$E$5:$F$51, C107) + COUNTIFS(Trainee!$D$56:$D$57, C107)</f>
        <v>0</v>
      </c>
      <c r="I107" s="210">
        <f>COUNTIF(Trainee!$H$5:$I$51, C107)</f>
        <v>0</v>
      </c>
      <c r="J107" s="208">
        <f t="shared" si="0"/>
        <v>0</v>
      </c>
      <c r="K107" s="211">
        <f>SUM(MAX(G107 - M107, 0)*2 + MAX(H107 - N107 - O107, 0)*2 + MAX(I107 - P107, 0)*2 + M107*5 + N107*5 + O107*3 + P107*3)</f>
        <v>0</v>
      </c>
      <c r="M107" s="212">
        <f>COUNTIF(Trainee!$C$56:$C$57, C107)</f>
        <v>0</v>
      </c>
      <c r="N107" s="212">
        <f>COUNTIF(Trainee!$D$56:$D$57, C107)</f>
        <v>0</v>
      </c>
      <c r="O107" s="212">
        <f>COUNTIFS(Trainee!$E$10:$F$10, C107) + COUNTIFS(Trainee!$E$31:$F$31, C107) + COUNTIFS(Trainee!$E$41:$F$41, C107) + COUNTIFS(Trainee!$E$51:$F77, C107)</f>
        <v>0</v>
      </c>
      <c r="P107" s="212">
        <f>COUNTIFS(Trainee!$H$10:$I$10, C107) + COUNTIFS(Trainee!$H$31:$I$31, C107) + COUNTIFS(Trainee!$H$41:$I$41, C107) + COUNTIFS(Trainee!$H$51:$I77, C107)</f>
        <v>0</v>
      </c>
    </row>
    <row r="108" spans="3:16" ht="18.75" customHeight="1">
      <c r="C108" s="261" t="s">
        <v>100</v>
      </c>
      <c r="D108" s="178"/>
      <c r="E108" s="178"/>
      <c r="F108" s="178"/>
      <c r="G108" s="174">
        <f>COUNTIFS(Trainee!$C$5:$C$57, C108) + COUNTIFS(Trainee!$D$5:$D$51, C108)</f>
        <v>1</v>
      </c>
      <c r="H108" s="174">
        <f>COUNTIFS(Trainee!$E$5:$F$51, C108) + COUNTIFS(Trainee!$D$56:$D$57, C108)</f>
        <v>1</v>
      </c>
      <c r="I108" s="174">
        <f>COUNTIF(Trainee!$H$5:$I$51, C108)</f>
        <v>1</v>
      </c>
      <c r="J108" s="207">
        <f t="shared" si="0"/>
        <v>3</v>
      </c>
      <c r="K108" s="176">
        <f>SUM(MAX(G108 - M108, 0)*2 + MAX(H108 - N108 - O108, 0)*2 + MAX(I108 - P108, 0)*2 + M108*5 + N108*5 + O108*3 + P108*3)</f>
        <v>6</v>
      </c>
      <c r="M108" s="177">
        <f>COUNTIF(Trainee!$C$56:$C$57, C108)</f>
        <v>0</v>
      </c>
      <c r="N108" s="177">
        <f>COUNTIF(Trainee!$D$56:$D$57, C108)</f>
        <v>0</v>
      </c>
      <c r="O108" s="177">
        <f>COUNTIFS(Trainee!$E$10:$F$10, C108) + COUNTIFS(Trainee!$E$31:$F$31, C108) + COUNTIFS(Trainee!$E$41:$F$41, C108) + COUNTIFS(Trainee!$E$51:$F78, C108)</f>
        <v>0</v>
      </c>
      <c r="P108" s="177">
        <f>COUNTIFS(Trainee!$H$10:$I$10, C108) + COUNTIFS(Trainee!$H$31:$I$31, C108) + COUNTIFS(Trainee!$H$41:$I$41, C108) + COUNTIFS(Trainee!$H$51:$I78, C108)</f>
        <v>0</v>
      </c>
    </row>
    <row r="109" spans="3:16" s="190" customFormat="1" ht="18.75" customHeight="1">
      <c r="C109" s="261" t="s">
        <v>104</v>
      </c>
      <c r="D109" s="213"/>
      <c r="E109" s="213"/>
      <c r="F109" s="213"/>
      <c r="G109" s="210">
        <f>COUNTIFS(Trainee!$C$5:$C$57, C109) + COUNTIFS(Trainee!$D$5:$D$51, C109)</f>
        <v>1</v>
      </c>
      <c r="H109" s="210">
        <f>COUNTIFS(Trainee!$E$5:$F$51, C109) + COUNTIFS(Trainee!$D$56:$D$57, C109)</f>
        <v>1</v>
      </c>
      <c r="I109" s="210">
        <f>COUNTIF(Trainee!$H$5:$I$51, C109)</f>
        <v>1</v>
      </c>
      <c r="J109" s="208">
        <f t="shared" si="0"/>
        <v>3</v>
      </c>
      <c r="K109" s="211">
        <f>SUM(MAX(G109 - M109, 0)*2 + MAX(H109 - N109 - O109, 0)*2 + MAX(I109 - P109, 0)*2 + M109*5 + N109*5 + O109*3 + P109*3)</f>
        <v>7</v>
      </c>
      <c r="M109" s="212">
        <f>COUNTIF(Trainee!$C$56:$C$57, C109)</f>
        <v>0</v>
      </c>
      <c r="N109" s="212">
        <f>COUNTIF(Trainee!$D$56:$D$57, C109)</f>
        <v>0</v>
      </c>
      <c r="O109" s="212">
        <f>COUNTIFS(Trainee!$E$10:$F$10, C109) + COUNTIFS(Trainee!$E$31:$F$31, C109) + COUNTIFS(Trainee!$E$41:$F$41, C109) + COUNTIFS(Trainee!$E$51:$F79, C109)</f>
        <v>1</v>
      </c>
      <c r="P109" s="212">
        <f>COUNTIFS(Trainee!$H$10:$I$10, C109) + COUNTIFS(Trainee!$H$31:$I$31, C109) + COUNTIFS(Trainee!$H$41:$I$41, C109) + COUNTIFS(Trainee!$H$51:$I79, C109)</f>
        <v>0</v>
      </c>
    </row>
    <row r="110" spans="3:16" ht="18.75" customHeight="1">
      <c r="C110" s="261" t="s">
        <v>88</v>
      </c>
      <c r="D110" s="178"/>
      <c r="E110" s="178"/>
      <c r="F110" s="178"/>
      <c r="G110" s="174">
        <f>COUNTIFS(Trainee!$C$5:$C$57, C110) + COUNTIFS(Trainee!$D$5:$D$51, C110)</f>
        <v>2</v>
      </c>
      <c r="H110" s="174">
        <f>COUNTIFS(Trainee!$E$5:$F$51, C110) + COUNTIFS(Trainee!$D$56:$D$57, C110)</f>
        <v>3</v>
      </c>
      <c r="I110" s="174">
        <f>COUNTIF(Trainee!$H$5:$I$51, C110)</f>
        <v>2</v>
      </c>
      <c r="J110" s="175">
        <f t="shared" si="0"/>
        <v>7</v>
      </c>
      <c r="K110" s="176">
        <f>SUM(MAX(G110 - M110, 0)*2 + MAX(H110 - N110 - O110, 0)*2 + MAX(I110 - P110, 0)*2 + M110*5 + N110*5 + O110*3 + P110*3)</f>
        <v>15</v>
      </c>
      <c r="M110" s="177">
        <f>COUNTIF(Trainee!$C$56:$C$57, C110)</f>
        <v>0</v>
      </c>
      <c r="N110" s="177">
        <f>COUNTIF(Trainee!$D$56:$D$57, C110)</f>
        <v>0</v>
      </c>
      <c r="O110" s="177">
        <f>COUNTIFS(Trainee!$E$10:$F$10, C110) + COUNTIFS(Trainee!$E$31:$F$31, C110) + COUNTIFS(Trainee!$E$41:$F$41, C110) + COUNTIFS(Trainee!$E$51:$F80, C110)</f>
        <v>1</v>
      </c>
      <c r="P110" s="177">
        <f>COUNTIFS(Trainee!$H$10:$I$10, C110) + COUNTIFS(Trainee!$H$31:$I$31, C110) + COUNTIFS(Trainee!$H$41:$I$41, C110) + COUNTIFS(Trainee!$H$51:$I80, C110)</f>
        <v>0</v>
      </c>
    </row>
    <row r="111" spans="3:16" ht="18.75" customHeight="1">
      <c r="C111" s="261" t="s">
        <v>71</v>
      </c>
      <c r="D111" s="178"/>
      <c r="E111" s="178"/>
      <c r="F111" s="178"/>
      <c r="G111" s="174">
        <f>COUNTIFS(Trainee!$C$5:$C$57, C111) + COUNTIFS(Trainee!$D$5:$D$51, C111)</f>
        <v>2</v>
      </c>
      <c r="H111" s="174">
        <f>COUNTIFS(Trainee!$E$5:$F$51, C111) + COUNTIFS(Trainee!$D$56:$D$57, C111)</f>
        <v>3</v>
      </c>
      <c r="I111" s="174">
        <f>COUNTIF(Trainee!$H$5:$I$51, C111)</f>
        <v>2</v>
      </c>
      <c r="J111" s="175">
        <f t="shared" si="0"/>
        <v>7</v>
      </c>
      <c r="K111" s="176">
        <f>SUM(MAX(G111 - M111, 0)*2 + MAX(H111 - N111 - O111, 0)*2 + MAX(I111 - P111, 0)*2 + M111*5 + N111*5 + O111*3 + P111*3)</f>
        <v>14</v>
      </c>
      <c r="M111" s="177">
        <f>COUNTIF(Trainee!$C$56:$C$57, C111)</f>
        <v>0</v>
      </c>
      <c r="N111" s="177">
        <f>COUNTIF(Trainee!$D$56:$D$57, C111)</f>
        <v>0</v>
      </c>
      <c r="O111" s="177">
        <f>COUNTIFS(Trainee!$E$10:$F$10, C111) + COUNTIFS(Trainee!$E$31:$F$31, C111) + COUNTIFS(Trainee!$E$41:$F$41, C111) + COUNTIFS(Trainee!$E$51:$F81, C111)</f>
        <v>0</v>
      </c>
      <c r="P111" s="177">
        <f>COUNTIFS(Trainee!$H$10:$I$10, C111) + COUNTIFS(Trainee!$H$31:$I$31, C111) + COUNTIFS(Trainee!$H$41:$I$41, C111) + COUNTIFS(Trainee!$H$51:$I81, C111)</f>
        <v>0</v>
      </c>
    </row>
    <row r="112" spans="3:16" ht="18.75" customHeight="1">
      <c r="C112" s="261" t="s">
        <v>97</v>
      </c>
      <c r="D112" s="178"/>
      <c r="E112" s="178"/>
      <c r="F112" s="178"/>
      <c r="G112" s="174">
        <f>COUNTIFS(Trainee!$C$5:$C$57, C112) + COUNTIFS(Trainee!$D$5:$D$51, C112)</f>
        <v>1</v>
      </c>
      <c r="H112" s="174">
        <f>COUNTIFS(Trainee!$E$5:$F$51, C112) + COUNTIFS(Trainee!$D$56:$D$57, C112)</f>
        <v>1</v>
      </c>
      <c r="I112" s="174">
        <f>COUNTIF(Trainee!$H$5:$I$51, C112)</f>
        <v>3</v>
      </c>
      <c r="J112" s="207">
        <f t="shared" si="0"/>
        <v>5</v>
      </c>
      <c r="K112" s="176">
        <f>SUM(MAX(G112 - M112, 0)*2 + MAX(H112 - N112 - O112, 0)*2 + MAX(I112 - P112, 0)*2 + M112*5 + N112*5 + O112*3 + P112*3)</f>
        <v>11</v>
      </c>
      <c r="M112" s="177">
        <f>COUNTIF(Trainee!$C$56:$C$57, C112)</f>
        <v>0</v>
      </c>
      <c r="N112" s="177">
        <f>COUNTIF(Trainee!$D$56:$D$57, C112)</f>
        <v>0</v>
      </c>
      <c r="O112" s="177">
        <f>COUNTIFS(Trainee!$E$10:$F$10, C112) + COUNTIFS(Trainee!$E$31:$F$31, C112) + COUNTIFS(Trainee!$E$41:$F$41, C112) + COUNTIFS(Trainee!$E$51:$F82, C112)</f>
        <v>0</v>
      </c>
      <c r="P112" s="177">
        <f>COUNTIFS(Trainee!$H$10:$I$10, C112) + COUNTIFS(Trainee!$H$31:$I$31, C112) + COUNTIFS(Trainee!$H$41:$I$41, C112) + COUNTIFS(Trainee!$H$51:$I82, C112)</f>
        <v>1</v>
      </c>
    </row>
    <row r="113" spans="3:16" s="190" customFormat="1" ht="18.75" customHeight="1">
      <c r="C113" s="262" t="s">
        <v>307</v>
      </c>
      <c r="D113" s="213"/>
      <c r="E113" s="213"/>
      <c r="F113" s="213"/>
      <c r="G113" s="210">
        <f>COUNTIFS(Trainee!$C$5:$C$57, C113) + COUNTIFS(Trainee!$D$5:$D$51, C113)</f>
        <v>0</v>
      </c>
      <c r="H113" s="210">
        <f>COUNTIFS(Trainee!$E$5:$F$51, C113) + COUNTIFS(Trainee!$D$56:$D$57, C113)</f>
        <v>0</v>
      </c>
      <c r="I113" s="210">
        <f>COUNTIF(Trainee!$H$5:$I$51, C113)</f>
        <v>0</v>
      </c>
      <c r="J113" s="208">
        <f t="shared" si="0"/>
        <v>0</v>
      </c>
      <c r="K113" s="211">
        <f>SUM(MAX(G113 - M113, 0)*2 + MAX(H113 - N113 - O113, 0)*2 + MAX(I113 - P113, 0)*2 + M113*5 + N113*5 + O113*3 + P113*3)</f>
        <v>0</v>
      </c>
      <c r="M113" s="212">
        <f>COUNTIF(Trainee!$C$56:$C$57, C113)</f>
        <v>0</v>
      </c>
      <c r="N113" s="212">
        <f>COUNTIF(Trainee!$D$56:$D$57, C113)</f>
        <v>0</v>
      </c>
      <c r="O113" s="212">
        <f>COUNTIFS(Trainee!$E$10:$F$10, C113) + COUNTIFS(Trainee!$E$31:$F$31, C113) + COUNTIFS(Trainee!$E$41:$F$41, C113) + COUNTIFS(Trainee!$E$51:$F83, C113)</f>
        <v>0</v>
      </c>
      <c r="P113" s="212">
        <f>COUNTIFS(Trainee!$H$10:$I$10, C113) + COUNTIFS(Trainee!$H$31:$I$31, C113) + COUNTIFS(Trainee!$H$41:$I$41, C113) + COUNTIFS(Trainee!$H$51:$I83, C113)</f>
        <v>0</v>
      </c>
    </row>
    <row r="114" spans="3:16" s="190" customFormat="1" ht="18.75" customHeight="1">
      <c r="C114" s="262" t="s">
        <v>308</v>
      </c>
      <c r="D114" s="213"/>
      <c r="E114" s="213"/>
      <c r="F114" s="213"/>
      <c r="G114" s="210">
        <f>COUNTIFS(Trainee!$C$5:$C$57, C114) + COUNTIFS(Trainee!$D$5:$D$51, C114)</f>
        <v>0</v>
      </c>
      <c r="H114" s="210">
        <f>COUNTIFS(Trainee!$E$5:$F$51, C114) + COUNTIFS(Trainee!$D$56:$D$57, C114)</f>
        <v>0</v>
      </c>
      <c r="I114" s="210">
        <f>COUNTIF(Trainee!$H$5:$I$51, C114)</f>
        <v>0</v>
      </c>
      <c r="J114" s="208">
        <f t="shared" si="0"/>
        <v>0</v>
      </c>
      <c r="K114" s="211">
        <f>SUM(MAX(G114 - M114, 0)*2 + MAX(H114 - N114 - O114, 0)*2 + MAX(I114 - P114, 0)*2 + M114*5 + N114*5 + O114*3 + P114*3)</f>
        <v>0</v>
      </c>
      <c r="M114" s="212">
        <f>COUNTIF(Trainee!$C$56:$C$57, C114)</f>
        <v>0</v>
      </c>
      <c r="N114" s="212">
        <f>COUNTIF(Trainee!$D$56:$D$57, C114)</f>
        <v>0</v>
      </c>
      <c r="O114" s="212">
        <f>COUNTIFS(Trainee!$E$10:$F$10, C114) + COUNTIFS(Trainee!$E$31:$F$31, C114) + COUNTIFS(Trainee!$E$41:$F$41, C114) + COUNTIFS(Trainee!$E$51:$F84, C114)</f>
        <v>0</v>
      </c>
      <c r="P114" s="212">
        <f>COUNTIFS(Trainee!$H$10:$I$10, C114) + COUNTIFS(Trainee!$H$31:$I$31, C114) + COUNTIFS(Trainee!$H$41:$I$41, C114) + COUNTIFS(Trainee!$H$51:$I84, C114)</f>
        <v>0</v>
      </c>
    </row>
    <row r="115" spans="3:16" s="190" customFormat="1" ht="18.75" customHeight="1">
      <c r="C115" s="262" t="s">
        <v>309</v>
      </c>
      <c r="D115" s="213"/>
      <c r="E115" s="213"/>
      <c r="F115" s="213"/>
      <c r="G115" s="210">
        <f>COUNTIFS(Trainee!$C$5:$C$57, C115) + COUNTIFS(Trainee!$D$5:$D$51, C115)</f>
        <v>0</v>
      </c>
      <c r="H115" s="210">
        <f>COUNTIFS(Trainee!$E$5:$F$51, C115) + COUNTIFS(Trainee!$D$56:$D$57, C115)</f>
        <v>0</v>
      </c>
      <c r="I115" s="210">
        <f>COUNTIF(Trainee!$H$5:$I$51, C115)</f>
        <v>0</v>
      </c>
      <c r="J115" s="208">
        <f t="shared" si="0"/>
        <v>0</v>
      </c>
      <c r="K115" s="211">
        <f>SUM(MAX(G115 - M115, 0)*2 + MAX(H115 - N115 - O115, 0)*2 + MAX(I115 - P115, 0)*2 + M115*5 + N115*5 + O115*3 + P115*3)</f>
        <v>0</v>
      </c>
      <c r="M115" s="212">
        <f>COUNTIF(Trainee!$C$56:$C$57, C115)</f>
        <v>0</v>
      </c>
      <c r="N115" s="212">
        <f>COUNTIF(Trainee!$D$56:$D$57, C115)</f>
        <v>0</v>
      </c>
      <c r="O115" s="212">
        <f>COUNTIFS(Trainee!$E$10:$F$10, C115) + COUNTIFS(Trainee!$E$31:$F$31, C115) + COUNTIFS(Trainee!$E$41:$F$41, C115) + COUNTIFS(Trainee!$E$51:$F85, C115)</f>
        <v>0</v>
      </c>
      <c r="P115" s="212">
        <f>COUNTIFS(Trainee!$H$10:$I$10, C115) + COUNTIFS(Trainee!$H$31:$I$31, C115) + COUNTIFS(Trainee!$H$41:$I$41, C115) + COUNTIFS(Trainee!$H$51:$I85, C115)</f>
        <v>0</v>
      </c>
    </row>
    <row r="116" spans="3:16" ht="18.75" customHeight="1">
      <c r="C116" s="261" t="s">
        <v>87</v>
      </c>
      <c r="D116" s="178"/>
      <c r="E116" s="178"/>
      <c r="F116" s="178"/>
      <c r="G116" s="174">
        <f>COUNTIFS(Trainee!$C$5:$C$57, C116) + COUNTIFS(Trainee!$D$5:$D$51, C116)</f>
        <v>3</v>
      </c>
      <c r="H116" s="174">
        <f>COUNTIFS(Trainee!$E$5:$F$51, C116) + COUNTIFS(Trainee!$D$56:$D$57, C116)</f>
        <v>2</v>
      </c>
      <c r="I116" s="174">
        <f>COUNTIF(Trainee!$H$5:$I$51, C116)</f>
        <v>2</v>
      </c>
      <c r="J116" s="206">
        <f t="shared" si="0"/>
        <v>7</v>
      </c>
      <c r="K116" s="176">
        <f>SUM(MAX(G116 - M116, 0)*2 + MAX(H116 - N116 - O116, 0)*2 + MAX(I116 - P116, 0)*2 + M116*5 + N116*5 + O116*3 + P116*3)</f>
        <v>15</v>
      </c>
      <c r="M116" s="177">
        <f>COUNTIF(Trainee!$C$56:$C$57, C116)</f>
        <v>0</v>
      </c>
      <c r="N116" s="177">
        <f>COUNTIF(Trainee!$D$56:$D$57, C116)</f>
        <v>0</v>
      </c>
      <c r="O116" s="177">
        <f>COUNTIFS(Trainee!$E$10:$F$10, C116) + COUNTIFS(Trainee!$E$31:$F$31, C116) + COUNTIFS(Trainee!$E$41:$F$41, C116) + COUNTIFS(Trainee!$E$51:$F86, C116)</f>
        <v>1</v>
      </c>
      <c r="P116" s="177">
        <f>COUNTIFS(Trainee!$H$10:$I$10, C116) + COUNTIFS(Trainee!$H$31:$I$31, C116) + COUNTIFS(Trainee!$H$41:$I$41, C116) + COUNTIFS(Trainee!$H$51:$I86, C116)</f>
        <v>0</v>
      </c>
    </row>
    <row r="117" spans="3:16" ht="18.75" customHeight="1">
      <c r="C117" s="261" t="s">
        <v>94</v>
      </c>
      <c r="D117" s="178"/>
      <c r="E117" s="178"/>
      <c r="F117" s="178"/>
      <c r="G117" s="174">
        <f>COUNTIFS(Trainee!$C$5:$C$57, C117) + COUNTIFS(Trainee!$D$5:$D$51, C117)</f>
        <v>2</v>
      </c>
      <c r="H117" s="174">
        <f>COUNTIFS(Trainee!$E$5:$F$51, C117) + COUNTIFS(Trainee!$D$56:$D$57, C117)</f>
        <v>2</v>
      </c>
      <c r="I117" s="174">
        <f>COUNTIF(Trainee!$H$5:$I$51, C117)</f>
        <v>2</v>
      </c>
      <c r="J117" s="175">
        <f t="shared" si="0"/>
        <v>6</v>
      </c>
      <c r="K117" s="176">
        <f>SUM(MAX(G117 - M117, 0)*2 + MAX(H117 - N117 - O117, 0)*2 + MAX(I117 - P117, 0)*2 + M117*5 + N117*5 + O117*3 + P117*3)</f>
        <v>12</v>
      </c>
      <c r="M117" s="177">
        <f>COUNTIF(Trainee!$C$56:$C$57, C117)</f>
        <v>0</v>
      </c>
      <c r="N117" s="177">
        <f>COUNTIF(Trainee!$D$56:$D$57, C117)</f>
        <v>0</v>
      </c>
      <c r="O117" s="177">
        <f>COUNTIFS(Trainee!$E$10:$F$10, C117) + COUNTIFS(Trainee!$E$31:$F$31, C117) + COUNTIFS(Trainee!$E$41:$F$41, C117) + COUNTIFS(Trainee!$E$51:$F87, C117)</f>
        <v>0</v>
      </c>
      <c r="P117" s="177">
        <f>COUNTIFS(Trainee!$H$10:$I$10, C117) + COUNTIFS(Trainee!$H$31:$I$31, C117) + COUNTIFS(Trainee!$H$41:$I$41, C117) + COUNTIFS(Trainee!$H$51:$I87, C117)</f>
        <v>0</v>
      </c>
    </row>
    <row r="118" spans="3:16" s="190" customFormat="1" ht="18.75" customHeight="1">
      <c r="C118" s="261" t="s">
        <v>82</v>
      </c>
      <c r="D118" s="213"/>
      <c r="E118" s="213"/>
      <c r="F118" s="213"/>
      <c r="G118" s="210">
        <f>COUNTIFS(Trainee!$C$5:$C$57, C118) + COUNTIFS(Trainee!$D$5:$D$51, C118)</f>
        <v>1</v>
      </c>
      <c r="H118" s="210">
        <f>COUNTIFS(Trainee!$E$5:$F$51, C118) + COUNTIFS(Trainee!$D$56:$D$57, C118)</f>
        <v>0</v>
      </c>
      <c r="I118" s="210">
        <f>COUNTIF(Trainee!$H$5:$I$51, C118)</f>
        <v>1</v>
      </c>
      <c r="J118" s="208">
        <f t="shared" si="0"/>
        <v>2</v>
      </c>
      <c r="K118" s="211">
        <f>SUM(MAX(G118 - M118, 0)*2 + MAX(H118 - N118 - O118, 0)*2 + MAX(I118 - P118, 0)*2 + M118*5 + N118*5 + O118*3 + P118*3)</f>
        <v>4</v>
      </c>
      <c r="M118" s="212">
        <f>COUNTIF(Trainee!$C$56:$C$57, C118)</f>
        <v>0</v>
      </c>
      <c r="N118" s="212">
        <f>COUNTIF(Trainee!$D$56:$D$57, C118)</f>
        <v>0</v>
      </c>
      <c r="O118" s="212">
        <f>COUNTIFS(Trainee!$E$10:$F$10, C118) + COUNTIFS(Trainee!$E$31:$F$31, C118) + COUNTIFS(Trainee!$E$41:$F$41, C118) + COUNTIFS(Trainee!$E$51:$F88, C118)</f>
        <v>0</v>
      </c>
      <c r="P118" s="212">
        <f>COUNTIFS(Trainee!$H$10:$I$10, C118) + COUNTIFS(Trainee!$H$31:$I$31, C118) + COUNTIFS(Trainee!$H$41:$I$41, C118) + COUNTIFS(Trainee!$H$51:$I88, C118)</f>
        <v>0</v>
      </c>
    </row>
    <row r="119" spans="3:16" ht="18.75" customHeight="1">
      <c r="C119" s="261" t="s">
        <v>72</v>
      </c>
      <c r="D119" s="178"/>
      <c r="E119" s="178"/>
      <c r="F119" s="178"/>
      <c r="G119" s="174">
        <f>COUNTIFS(Trainee!$C$5:$C$57, C119) + COUNTIFS(Trainee!$D$5:$D$51, C119)</f>
        <v>2</v>
      </c>
      <c r="H119" s="174">
        <f>COUNTIFS(Trainee!$E$5:$F$51, C119) + COUNTIFS(Trainee!$D$56:$D$57, C119)</f>
        <v>3</v>
      </c>
      <c r="I119" s="174">
        <f>COUNTIF(Trainee!$H$5:$I$51, C119)</f>
        <v>2</v>
      </c>
      <c r="J119" s="206">
        <f t="shared" si="0"/>
        <v>7</v>
      </c>
      <c r="K119" s="176">
        <f>SUM(MAX(G119 - M119, 0)*2 + MAX(H119 - N119 - O119, 0)*2 + MAX(I119 - P119, 0)*2 + M119*5 + N119*5 + O119*3 + P119*3)</f>
        <v>15</v>
      </c>
      <c r="M119" s="177">
        <f>COUNTIF(Trainee!$C$56:$C$57, C119)</f>
        <v>0</v>
      </c>
      <c r="N119" s="177">
        <f>COUNTIF(Trainee!$D$56:$D$57, C119)</f>
        <v>0</v>
      </c>
      <c r="O119" s="177">
        <f>COUNTIFS(Trainee!$E$10:$F$10, C119) + COUNTIFS(Trainee!$E$31:$F$31, C119) + COUNTIFS(Trainee!$E$41:$F$41, C119) + COUNTIFS(Trainee!$E$51:$F89, C119)</f>
        <v>0</v>
      </c>
      <c r="P119" s="177">
        <f>COUNTIFS(Trainee!$H$10:$I$10, C119) + COUNTIFS(Trainee!$H$31:$I$31, C119) + COUNTIFS(Trainee!$H$41:$I$41, C119) + COUNTIFS(Trainee!$H$51:$I89, C119)</f>
        <v>1</v>
      </c>
    </row>
    <row r="120" spans="3:16" s="190" customFormat="1" ht="18.75" customHeight="1">
      <c r="C120" s="261" t="s">
        <v>79</v>
      </c>
      <c r="D120" s="213"/>
      <c r="E120" s="213"/>
      <c r="F120" s="213"/>
      <c r="G120" s="210">
        <f>COUNTIFS(Trainee!$C$5:$C$57, C120) + COUNTIFS(Trainee!$D$5:$D$51, C120)</f>
        <v>1</v>
      </c>
      <c r="H120" s="210">
        <f>COUNTIFS(Trainee!$E$5:$F$51, C120) + COUNTIFS(Trainee!$D$56:$D$57, C120)</f>
        <v>2</v>
      </c>
      <c r="I120" s="210">
        <f>COUNTIF(Trainee!$H$5:$I$51, C120)</f>
        <v>1</v>
      </c>
      <c r="J120" s="208">
        <f t="shared" si="0"/>
        <v>4</v>
      </c>
      <c r="K120" s="211">
        <f>SUM(MAX(G120 - M120, 0)*2 + MAX(H120 - N120 - O120, 0)*2 + MAX(I120 - P120, 0)*2 + M120*5 + N120*5 + O120*3 + P120*3)</f>
        <v>11</v>
      </c>
      <c r="M120" s="212">
        <f>COUNTIF(Trainee!$C$56:$C$57, C120)</f>
        <v>0</v>
      </c>
      <c r="N120" s="212">
        <f>COUNTIF(Trainee!$D$56:$D$57, C120)</f>
        <v>1</v>
      </c>
      <c r="O120" s="212">
        <f>COUNTIFS(Trainee!$E$10:$F$10, C120) + COUNTIFS(Trainee!$E$31:$F$31, C120) + COUNTIFS(Trainee!$E$41:$F$41, C120) + COUNTIFS(Trainee!$E$51:$F90, C120)</f>
        <v>0</v>
      </c>
      <c r="P120" s="212">
        <f>COUNTIFS(Trainee!$H$10:$I$10, C120) + COUNTIFS(Trainee!$H$31:$I$31, C120) + COUNTIFS(Trainee!$H$41:$I$41, C120) + COUNTIFS(Trainee!$H$51:$I90, C120)</f>
        <v>0</v>
      </c>
    </row>
    <row r="121" spans="3:16" ht="18.75" customHeight="1">
      <c r="C121" s="261" t="s">
        <v>92</v>
      </c>
      <c r="D121" s="178"/>
      <c r="E121" s="178"/>
      <c r="F121" s="178"/>
      <c r="G121" s="174">
        <f>COUNTIFS(Trainee!$C$5:$C$57, C121) + COUNTIFS(Trainee!$D$5:$D$51, C121)</f>
        <v>2</v>
      </c>
      <c r="H121" s="174">
        <f>COUNTIFS(Trainee!$E$5:$F$51, C121) + COUNTIFS(Trainee!$D$56:$D$57, C121)</f>
        <v>1</v>
      </c>
      <c r="I121" s="174">
        <f>COUNTIF(Trainee!$H$5:$I$51, C121)</f>
        <v>3</v>
      </c>
      <c r="J121" s="206">
        <f t="shared" si="0"/>
        <v>6</v>
      </c>
      <c r="K121" s="176">
        <f>SUM(MAX(G121 - M121, 0)*2 + MAX(H121 - N121 - O121, 0)*2 + MAX(I121 - P121, 0)*2 + M121*5 + N121*5 + O121*3 + P121*3)</f>
        <v>16</v>
      </c>
      <c r="M121" s="177">
        <f>COUNTIF(Trainee!$C$56:$C$57, C121)</f>
        <v>1</v>
      </c>
      <c r="N121" s="177">
        <f>COUNTIF(Trainee!$D$56:$D$57, C121)</f>
        <v>0</v>
      </c>
      <c r="O121" s="177">
        <f>COUNTIFS(Trainee!$E$10:$F$10, C121) + COUNTIFS(Trainee!$E$31:$F$31, C121) + COUNTIFS(Trainee!$E$41:$F$41, C121) + COUNTIFS(Trainee!$E$51:$F91, C121)</f>
        <v>0</v>
      </c>
      <c r="P121" s="177">
        <f>COUNTIFS(Trainee!$H$10:$I$10, C121) + COUNTIFS(Trainee!$H$31:$I$31, C121) + COUNTIFS(Trainee!$H$41:$I$41, C121) + COUNTIFS(Trainee!$H$51:$I91, C121)</f>
        <v>1</v>
      </c>
    </row>
    <row r="122" spans="3:16" ht="18.75" customHeight="1">
      <c r="C122" s="261" t="s">
        <v>86</v>
      </c>
      <c r="D122" s="178"/>
      <c r="E122" s="178"/>
      <c r="F122" s="178"/>
      <c r="G122" s="174">
        <f>COUNTIFS(Trainee!$C$5:$C$57, C122) + COUNTIFS(Trainee!$D$5:$D$51, C122)</f>
        <v>2</v>
      </c>
      <c r="H122" s="174">
        <f>COUNTIFS(Trainee!$E$5:$F$51, C122) + COUNTIFS(Trainee!$D$56:$D$57, C122)</f>
        <v>4</v>
      </c>
      <c r="I122" s="174">
        <f>COUNTIF(Trainee!$H$5:$I$51, C122)</f>
        <v>1</v>
      </c>
      <c r="J122" s="206">
        <f t="shared" si="0"/>
        <v>7</v>
      </c>
      <c r="K122" s="176">
        <f>SUM(MAX(G122 - M122, 0)*2 + MAX(H122 - N122 - O122, 0)*2 + MAX(I122 - P122, 0)*2 + M122*5 + N122*5 + O122*3 + P122*3)</f>
        <v>15</v>
      </c>
      <c r="M122" s="177">
        <f>COUNTIF(Trainee!$C$56:$C$57, C122)</f>
        <v>0</v>
      </c>
      <c r="N122" s="177">
        <f>COUNTIF(Trainee!$D$56:$D$57, C122)</f>
        <v>0</v>
      </c>
      <c r="O122" s="177">
        <f>COUNTIFS(Trainee!$E$10:$F$10, C122) + COUNTIFS(Trainee!$E$31:$F$31, C122) + COUNTIFS(Trainee!$E$41:$F$41, C122) + COUNTIFS(Trainee!$E$51:$F92, C122)</f>
        <v>0</v>
      </c>
      <c r="P122" s="177">
        <f>COUNTIFS(Trainee!$H$10:$I$10, C122) + COUNTIFS(Trainee!$H$31:$I$31, C122) + COUNTIFS(Trainee!$H$41:$I$41, C122) + COUNTIFS(Trainee!$H$51:$I92, C122)</f>
        <v>1</v>
      </c>
    </row>
    <row r="123" spans="3:16" ht="18.75" customHeight="1">
      <c r="C123" s="261" t="s">
        <v>80</v>
      </c>
      <c r="D123" s="178"/>
      <c r="E123" s="178"/>
      <c r="F123" s="178"/>
      <c r="G123" s="174">
        <f>COUNTIFS(Trainee!$C$5:$C$57, C123) + COUNTIFS(Trainee!$D$5:$D$51, C123)</f>
        <v>2</v>
      </c>
      <c r="H123" s="174">
        <f>COUNTIFS(Trainee!$E$5:$F$51, C123) + COUNTIFS(Trainee!$D$56:$D$57, C123)</f>
        <v>2</v>
      </c>
      <c r="I123" s="174">
        <f>COUNTIF(Trainee!$H$5:$I$51, C123)</f>
        <v>1</v>
      </c>
      <c r="J123" s="175">
        <f t="shared" si="0"/>
        <v>5</v>
      </c>
      <c r="K123" s="176">
        <f>SUM(MAX(G123 - M123, 0)*2 + MAX(H123 - N123 - O123, 0)*2 + MAX(I123 - P123, 0)*2 + M123*5 + N123*5 + O123*3 + P123*3)</f>
        <v>10</v>
      </c>
      <c r="M123" s="177">
        <f>COUNTIF(Trainee!$C$56:$C$57, C123)</f>
        <v>0</v>
      </c>
      <c r="N123" s="177">
        <f>COUNTIF(Trainee!$D$56:$D$57, C123)</f>
        <v>0</v>
      </c>
      <c r="O123" s="177">
        <f>COUNTIFS(Trainee!$E$10:$F$10, C123) + COUNTIFS(Trainee!$E$31:$F$31, C123) + COUNTIFS(Trainee!$E$41:$F$41, C123) + COUNTIFS(Trainee!$E$51:$F93, C123)</f>
        <v>0</v>
      </c>
      <c r="P123" s="177">
        <f>COUNTIFS(Trainee!$H$10:$I$10, C123) + COUNTIFS(Trainee!$H$31:$I$31, C123) + COUNTIFS(Trainee!$H$41:$I$41, C123) + COUNTIFS(Trainee!$H$51:$I93, C123)</f>
        <v>0</v>
      </c>
    </row>
    <row r="124" spans="3:16" s="190" customFormat="1" ht="18.75" customHeight="1">
      <c r="C124" s="262" t="s">
        <v>310</v>
      </c>
      <c r="D124" s="213"/>
      <c r="E124" s="213"/>
      <c r="F124" s="213"/>
      <c r="G124" s="210">
        <f>COUNTIFS(Trainee!$C$5:$C$57, C124) + COUNTIFS(Trainee!$D$5:$D$51, C124)</f>
        <v>0</v>
      </c>
      <c r="H124" s="210">
        <f>COUNTIFS(Trainee!$E$5:$F$51, C124) + COUNTIFS(Trainee!$D$56:$D$57, C124)</f>
        <v>0</v>
      </c>
      <c r="I124" s="210">
        <f>COUNTIF(Trainee!$H$5:$I$51, C124)</f>
        <v>0</v>
      </c>
      <c r="J124" s="208">
        <f t="shared" si="0"/>
        <v>0</v>
      </c>
      <c r="K124" s="211">
        <f>SUM(MAX(G124 - M124, 0)*2 + MAX(H124 - N124 - O124, 0)*2 + MAX(I124 - P124, 0)*2 + M124*5 + N124*5 + O124*3 + P124*3)</f>
        <v>0</v>
      </c>
      <c r="M124" s="212">
        <f>COUNTIF(Trainee!$C$56:$C$57, C124)</f>
        <v>0</v>
      </c>
      <c r="N124" s="212">
        <f>COUNTIF(Trainee!$D$56:$D$57, C124)</f>
        <v>0</v>
      </c>
      <c r="O124" s="212">
        <f>COUNTIFS(Trainee!$E$10:$F$10, C124) + COUNTIFS(Trainee!$E$31:$F$31, C124) + COUNTIFS(Trainee!$E$41:$F$41, C124) + COUNTIFS(Trainee!$E$51:$F94, C124)</f>
        <v>0</v>
      </c>
      <c r="P124" s="212">
        <f>COUNTIFS(Trainee!$H$10:$I$10, C124) + COUNTIFS(Trainee!$H$31:$I$31, C124) + COUNTIFS(Trainee!$H$41:$I$41, C124) + COUNTIFS(Trainee!$H$51:$I94, C124)</f>
        <v>0</v>
      </c>
    </row>
    <row r="125" spans="3:16" ht="18.75" customHeight="1">
      <c r="C125" s="261" t="s">
        <v>102</v>
      </c>
      <c r="D125" s="178"/>
      <c r="E125" s="178"/>
      <c r="F125" s="178"/>
      <c r="G125" s="210">
        <f>COUNTIFS(Trainee!$C$5:$C$57, C125) + COUNTIFS(Trainee!$D$5:$D$51, C125)</f>
        <v>1</v>
      </c>
      <c r="H125" s="210">
        <f>COUNTIFS(Trainee!$E$5:$F$51, C125) + COUNTIFS(Trainee!$D$56:$D$57, C125)</f>
        <v>2</v>
      </c>
      <c r="I125" s="210">
        <f>COUNTIF(Trainee!$H$5:$I$51, C125)</f>
        <v>2</v>
      </c>
      <c r="J125" s="207">
        <f t="shared" si="0"/>
        <v>5</v>
      </c>
      <c r="K125" s="176">
        <f>SUM(MAX(G125 - M125, 0)*2 + MAX(H125 - N125 - O125, 0)*2 + MAX(I125 - P125, 0)*2 + M125*5 + N125*5 + O125*3 + P125*3)</f>
        <v>12</v>
      </c>
      <c r="M125" s="177">
        <f>COUNTIF(Trainee!$C$56:$C$57, C125)</f>
        <v>0</v>
      </c>
      <c r="N125" s="177">
        <f>COUNTIF(Trainee!$D$56:$D$57, C125)</f>
        <v>0</v>
      </c>
      <c r="O125" s="177">
        <f>COUNTIFS(Trainee!$E$10:$F$10, C125) + COUNTIFS(Trainee!$E$31:$F$31, C125) + COUNTIFS(Trainee!$E$41:$F$41, C125) + COUNTIFS(Trainee!$E$51:$F95, C125)</f>
        <v>1</v>
      </c>
      <c r="P125" s="177">
        <f>COUNTIFS(Trainee!$H$10:$I$10, C125) + COUNTIFS(Trainee!$H$31:$I$31, C125) + COUNTIFS(Trainee!$H$41:$I$41, C125) + COUNTIFS(Trainee!$H$51:$I95, C125)</f>
        <v>1</v>
      </c>
    </row>
    <row r="126" spans="3:16" s="190" customFormat="1" ht="18.75" customHeight="1">
      <c r="C126" s="260" t="s">
        <v>311</v>
      </c>
      <c r="D126" s="213"/>
      <c r="E126" s="213"/>
      <c r="F126" s="213"/>
      <c r="G126" s="210">
        <f>COUNTIFS(Trainee!$C$5:$C$57, C126) + COUNTIFS(Trainee!$D$5:$D$51, C126)</f>
        <v>0</v>
      </c>
      <c r="H126" s="210">
        <f>COUNTIFS(Trainee!$E$5:$F$51, C126) + COUNTIFS(Trainee!$D$56:$D$57, C126)</f>
        <v>0</v>
      </c>
      <c r="I126" s="210">
        <f>COUNTIF(Trainee!$H$5:$I$51, C126)</f>
        <v>0</v>
      </c>
      <c r="J126" s="208">
        <f t="shared" si="0"/>
        <v>0</v>
      </c>
      <c r="K126" s="211">
        <f>SUM(MAX(G126 - M126, 0)*2 + MAX(H126 - N126 - O126, 0)*2 + MAX(I126 - P126, 0)*2 + M126*5 + N126*5 + O126*3 + P126*3)</f>
        <v>0</v>
      </c>
      <c r="M126" s="212">
        <f>COUNTIF(Trainee!$C$56:$C$57, C126)</f>
        <v>0</v>
      </c>
      <c r="N126" s="212">
        <f>COUNTIF(Trainee!$D$56:$D$57, C126)</f>
        <v>0</v>
      </c>
      <c r="O126" s="212">
        <f>COUNTIFS(Trainee!$E$10:$F$10, C126) + COUNTIFS(Trainee!$E$31:$F$31, C126) + COUNTIFS(Trainee!$E$41:$F$41, C126) + COUNTIFS(Trainee!$E$51:$F96, C126)</f>
        <v>0</v>
      </c>
      <c r="P126" s="212">
        <f>COUNTIFS(Trainee!$H$10:$I$10, C126) + COUNTIFS(Trainee!$H$31:$I$31, C126) + COUNTIFS(Trainee!$H$41:$I$41, C126) + COUNTIFS(Trainee!$H$51:$I96, C126)</f>
        <v>0</v>
      </c>
    </row>
    <row r="127" spans="3:16" ht="18.75" customHeight="1">
      <c r="C127" s="261" t="s">
        <v>70</v>
      </c>
      <c r="D127" s="178"/>
      <c r="E127" s="178"/>
      <c r="F127" s="178"/>
      <c r="G127" s="174">
        <f>COUNTIFS(Trainee!$C$5:$C$57, C127) + COUNTIFS(Trainee!$D$5:$D$51, C127)</f>
        <v>3</v>
      </c>
      <c r="H127" s="174">
        <f>COUNTIFS(Trainee!$E$5:$F$51, C127) + COUNTIFS(Trainee!$D$56:$D$57, C127)</f>
        <v>2</v>
      </c>
      <c r="I127" s="174">
        <f>COUNTIF(Trainee!$H$5:$I$51, C127)</f>
        <v>3</v>
      </c>
      <c r="J127" s="175">
        <f t="shared" si="0"/>
        <v>8</v>
      </c>
      <c r="K127" s="176">
        <f>SUM(MAX(G127 - M127, 0)*2 + MAX(H127 - N127 - O127, 0)*2 + MAX(I127 - P127, 0)*2 + M127*5 + N127*5 + O127*3 + P127*3)</f>
        <v>16</v>
      </c>
      <c r="M127" s="177">
        <f>COUNTIF(Trainee!$C$56:$C$57, C127)</f>
        <v>0</v>
      </c>
      <c r="N127" s="177">
        <f>COUNTIF(Trainee!$D$56:$D$57, C127)</f>
        <v>0</v>
      </c>
      <c r="O127" s="177">
        <f>COUNTIFS(Trainee!$E$10:$F$10, C127) + COUNTIFS(Trainee!$E$31:$F$31, C127) + COUNTIFS(Trainee!$E$41:$F$41, C127) + COUNTIFS(Trainee!$E$51:$F97, C127)</f>
        <v>0</v>
      </c>
      <c r="P127" s="177">
        <f>COUNTIFS(Trainee!$H$10:$I$10, C127) + COUNTIFS(Trainee!$H$31:$I$31, C127) + COUNTIFS(Trainee!$H$41:$I$41, C127) + COUNTIFS(Trainee!$H$51:$I97, C127)</f>
        <v>0</v>
      </c>
    </row>
    <row r="128" spans="3:16" s="190" customFormat="1" ht="18.75" customHeight="1">
      <c r="C128" s="260" t="s">
        <v>312</v>
      </c>
      <c r="D128" s="213"/>
      <c r="E128" s="213"/>
      <c r="F128" s="213"/>
      <c r="G128" s="210">
        <f>COUNTIFS(Trainee!$C$5:$C$57, C128) + COUNTIFS(Trainee!$D$5:$D$51, C128)</f>
        <v>0</v>
      </c>
      <c r="H128" s="210">
        <f>COUNTIFS(Trainee!$E$5:$F$51, C128) + COUNTIFS(Trainee!$D$56:$D$57, C128)</f>
        <v>0</v>
      </c>
      <c r="I128" s="210">
        <f>COUNTIF(Trainee!$H$5:$I$51, C128)</f>
        <v>0</v>
      </c>
      <c r="J128" s="208">
        <f t="shared" si="0"/>
        <v>0</v>
      </c>
      <c r="K128" s="211">
        <f>SUM(MAX(G128 - M128, 0)*2 + MAX(H128 - N128 - O128, 0)*2 + MAX(I128 - P128, 0)*2 + M128*5 + N128*5 + O128*3 + P128*3)</f>
        <v>0</v>
      </c>
      <c r="M128" s="212">
        <f>COUNTIF(Trainee!$C$56:$C$57, C128)</f>
        <v>0</v>
      </c>
      <c r="N128" s="212">
        <f>COUNTIF(Trainee!$D$56:$D$57, C128)</f>
        <v>0</v>
      </c>
      <c r="O128" s="212">
        <f>COUNTIFS(Trainee!$E$10:$F$10, C128) + COUNTIFS(Trainee!$E$31:$F$31, C128) + COUNTIFS(Trainee!$E$41:$F$41, C128) + COUNTIFS(Trainee!$E$51:$F98, C128)</f>
        <v>0</v>
      </c>
      <c r="P128" s="212">
        <f>COUNTIFS(Trainee!$H$10:$I$10, C128) + COUNTIFS(Trainee!$H$31:$I$31, C128) + COUNTIFS(Trainee!$H$41:$I$41, C128) + COUNTIFS(Trainee!$H$51:$I98, C128)</f>
        <v>0</v>
      </c>
    </row>
    <row r="129" spans="2:17" s="190" customFormat="1" ht="18.75" customHeight="1">
      <c r="C129" s="260" t="s">
        <v>313</v>
      </c>
      <c r="D129" s="213"/>
      <c r="E129" s="213"/>
      <c r="F129" s="213"/>
      <c r="G129" s="210">
        <f>COUNTIFS(Trainee!$C$5:$C$57, C129) + COUNTIFS(Trainee!$D$5:$D$51, C129)</f>
        <v>0</v>
      </c>
      <c r="H129" s="210">
        <f>COUNTIFS(Trainee!$E$5:$F$51, C129) + COUNTIFS(Trainee!$D$56:$D$57, C129)</f>
        <v>0</v>
      </c>
      <c r="I129" s="210">
        <f>COUNTIF(Trainee!$H$5:$I$51, C129)</f>
        <v>0</v>
      </c>
      <c r="J129" s="208">
        <f t="shared" si="0"/>
        <v>0</v>
      </c>
      <c r="K129" s="211">
        <f>SUM(MAX(G129 - M129, 0)*2 + MAX(H129 - N129 - O129, 0)*2 + MAX(I129 - P129, 0)*2 + M129*5 + N129*5 + O129*3 + P129*3)</f>
        <v>0</v>
      </c>
      <c r="M129" s="212">
        <f>COUNTIF(Trainee!$C$56:$C$57, C129)</f>
        <v>0</v>
      </c>
      <c r="N129" s="212">
        <f>COUNTIF(Trainee!$D$56:$D$57, C129)</f>
        <v>0</v>
      </c>
      <c r="O129" s="212">
        <f>COUNTIFS(Trainee!$E$10:$F$10, C129) + COUNTIFS(Trainee!$E$31:$F$31, C129) + COUNTIFS(Trainee!$E$41:$F$41, C129) + COUNTIFS(Trainee!$E$51:$F99, C129)</f>
        <v>0</v>
      </c>
      <c r="P129" s="212">
        <f>COUNTIFS(Trainee!$H$10:$I$10, C129) + COUNTIFS(Trainee!$H$31:$I$31, C129) + COUNTIFS(Trainee!$H$41:$I$41, C129) + COUNTIFS(Trainee!$H$51:$I99, C129)</f>
        <v>0</v>
      </c>
    </row>
    <row r="130" spans="2:17" s="190" customFormat="1" ht="18.75" customHeight="1">
      <c r="C130" s="260" t="s">
        <v>314</v>
      </c>
      <c r="D130" s="213"/>
      <c r="E130" s="213"/>
      <c r="F130" s="213"/>
      <c r="G130" s="210">
        <f>COUNTIFS(Trainee!$C$5:$C$57, C130) + COUNTIFS(Trainee!$D$5:$D$51, C130)</f>
        <v>0</v>
      </c>
      <c r="H130" s="210">
        <f>COUNTIFS(Trainee!$E$5:$F$51, C130) + COUNTIFS(Trainee!$D$56:$D$57, C130)</f>
        <v>0</v>
      </c>
      <c r="I130" s="210">
        <f>COUNTIF(Trainee!$H$5:$I$51, C130)</f>
        <v>0</v>
      </c>
      <c r="J130" s="208">
        <f t="shared" si="0"/>
        <v>0</v>
      </c>
      <c r="K130" s="211">
        <f>SUM(MAX(G130 - M130, 0)*2 + MAX(H130 - N130 - O130, 0)*2 + MAX(I130 - P130, 0)*2 + M130*5 + N130*5 + O130*3 + P130*3)</f>
        <v>0</v>
      </c>
      <c r="M130" s="212">
        <f>COUNTIF(Trainee!$C$56:$C$57, C130)</f>
        <v>0</v>
      </c>
      <c r="N130" s="212">
        <f>COUNTIF(Trainee!$D$56:$D$57, C130)</f>
        <v>0</v>
      </c>
      <c r="O130" s="212">
        <f>COUNTIFS(Trainee!$E$10:$F$10, C130) + COUNTIFS(Trainee!$E$31:$F$31, C130) + COUNTIFS(Trainee!$E$41:$F$41, C130) + COUNTIFS(Trainee!$E$51:$F100, C130)</f>
        <v>0</v>
      </c>
      <c r="P130" s="212">
        <f>COUNTIFS(Trainee!$H$10:$I$10, C130) + COUNTIFS(Trainee!$H$31:$I$31, C130) + COUNTIFS(Trainee!$H$41:$I$41, C130) + COUNTIFS(Trainee!$H$51:$I100, C130)</f>
        <v>0</v>
      </c>
    </row>
    <row r="131" spans="2:17" s="190" customFormat="1" ht="18.75" customHeight="1">
      <c r="B131" s="190" t="s">
        <v>315</v>
      </c>
      <c r="C131" s="262" t="s">
        <v>316</v>
      </c>
      <c r="D131" s="213"/>
      <c r="E131" s="213"/>
      <c r="F131" s="213"/>
      <c r="G131" s="210">
        <f>COUNTIFS(Trainee!$C$5:$C$57, C131) + COUNTIFS(Trainee!$D$5:$D$51, C131)</f>
        <v>0</v>
      </c>
      <c r="H131" s="210">
        <f>COUNTIFS(Trainee!$E$5:$F$51, C131) + COUNTIFS(Trainee!$D$56:$D$57, C131)</f>
        <v>0</v>
      </c>
      <c r="I131" s="210">
        <f>COUNTIF(Trainee!$H$5:$I$51, C131)</f>
        <v>0</v>
      </c>
      <c r="J131" s="208">
        <f t="shared" si="0"/>
        <v>0</v>
      </c>
      <c r="K131" s="211">
        <f>SUM(MAX(G131 - M131, 0)*2 + MAX(H131 - N131 - O131, 0)*2 + MAX(I131 - P131, 0)*2 + M131*5 + N131*5 + O131*3 + P131*3)</f>
        <v>0</v>
      </c>
      <c r="M131" s="212">
        <f>COUNTIF(Trainee!$C$56:$C$57, C131)</f>
        <v>0</v>
      </c>
      <c r="N131" s="212">
        <f>COUNTIF(Trainee!$D$56:$D$57, C131)</f>
        <v>0</v>
      </c>
      <c r="O131" s="212">
        <f>COUNTIFS(Trainee!$E$10:$F$10, C131) + COUNTIFS(Trainee!$E$31:$F$31, C131) + COUNTIFS(Trainee!$E$41:$F$41, C131) + COUNTIFS(Trainee!$E$51:$F101, C131)</f>
        <v>0</v>
      </c>
      <c r="P131" s="212">
        <f>COUNTIFS(Trainee!$H$10:$I$10, C131) + COUNTIFS(Trainee!$H$31:$I$31, C131) + COUNTIFS(Trainee!$H$41:$I$41, C131) + COUNTIFS(Trainee!$H$51:$I101, C131)</f>
        <v>0</v>
      </c>
    </row>
    <row r="132" spans="2:17" ht="18.75" customHeight="1">
      <c r="B132" s="156" t="s">
        <v>317</v>
      </c>
      <c r="C132" s="261" t="s">
        <v>76</v>
      </c>
      <c r="D132" s="178"/>
      <c r="E132" s="178"/>
      <c r="F132" s="178"/>
      <c r="G132" s="174">
        <f>COUNTIFS(Trainee!$C$5:$C$57, C132) + COUNTIFS(Trainee!$D$5:$D$51, C132)</f>
        <v>2</v>
      </c>
      <c r="H132" s="174">
        <f>COUNTIFS(Trainee!$E$5:$F$51, C132) + COUNTIFS(Trainee!$D$56:$D$57, C132)</f>
        <v>2</v>
      </c>
      <c r="I132" s="174">
        <f>COUNTIF(Trainee!$H$5:$I$51, C132)</f>
        <v>2</v>
      </c>
      <c r="J132" s="175">
        <f t="shared" si="0"/>
        <v>6</v>
      </c>
      <c r="K132" s="176">
        <f>SUM(MAX(G132 - M132, 0)*2 + MAX(H132 - N132 - O132, 0)*2 + MAX(I132 - P132, 0)*2 + M132*5 + N132*5 + O132*3 + P132*3)</f>
        <v>12</v>
      </c>
      <c r="M132" s="177">
        <f>COUNTIF(Trainee!$C$56:$C$57, C132)</f>
        <v>0</v>
      </c>
      <c r="N132" s="177">
        <f>COUNTIF(Trainee!$D$56:$D$57, C132)</f>
        <v>0</v>
      </c>
      <c r="O132" s="177">
        <f>COUNTIFS(Trainee!$E$10:$F$10, C132) + COUNTIFS(Trainee!$E$31:$F$31, C132) + COUNTIFS(Trainee!$E$41:$F$41, C132) + COUNTIFS(Trainee!$E$51:$F102, C132)</f>
        <v>0</v>
      </c>
      <c r="P132" s="177">
        <f>COUNTIFS(Trainee!$H$10:$I$10, C132) + COUNTIFS(Trainee!$H$31:$I$31, C132) + COUNTIFS(Trainee!$H$41:$I$41, C132) + COUNTIFS(Trainee!$H$51:$I102, C132)</f>
        <v>0</v>
      </c>
    </row>
    <row r="133" spans="2:17" ht="18.75" customHeight="1">
      <c r="B133" s="179" t="s">
        <v>318</v>
      </c>
      <c r="C133" s="261" t="s">
        <v>74</v>
      </c>
      <c r="D133" s="178"/>
      <c r="E133" s="178"/>
      <c r="F133" s="178"/>
      <c r="G133" s="210">
        <f>COUNTIFS(Trainee!$C$5:$C$57, C133) + COUNTIFS(Trainee!$D$5:$D$51, C133)</f>
        <v>1</v>
      </c>
      <c r="H133" s="210">
        <f>COUNTIFS(Trainee!$E$5:$F$51, C133) + COUNTIFS(Trainee!$D$56:$D$57, C133)</f>
        <v>1</v>
      </c>
      <c r="I133" s="210">
        <f>COUNTIF(Trainee!$H$5:$I$51, C133)</f>
        <v>2</v>
      </c>
      <c r="J133" s="175">
        <f t="shared" si="0"/>
        <v>4</v>
      </c>
      <c r="K133" s="176">
        <f>SUM(MAX(G133 - M133, 0)*2 + MAX(H133 - N133 - O133, 0)*2 + MAX(I133 - P133, 0)*2 + M133*5 + N133*5 + O133*3 + P133*3)</f>
        <v>8</v>
      </c>
      <c r="M133" s="177">
        <f>COUNTIF(Trainee!$C$56:$C$57, C133)</f>
        <v>0</v>
      </c>
      <c r="N133" s="177">
        <f>COUNTIF(Trainee!$D$56:$D$57, C133)</f>
        <v>0</v>
      </c>
      <c r="O133" s="177">
        <f>COUNTIFS(Trainee!$E$10:$F$10, C133) + COUNTIFS(Trainee!$E$31:$F$31, C133) + COUNTIFS(Trainee!$E$41:$F$41, C133) + COUNTIFS(Trainee!$E$51:$F103, C133)</f>
        <v>0</v>
      </c>
      <c r="P133" s="177">
        <f>COUNTIFS(Trainee!$H$10:$I$10, C133) + COUNTIFS(Trainee!$H$31:$I$31, C133) + COUNTIFS(Trainee!$H$41:$I$41, C133) + COUNTIFS(Trainee!$H$51:$I103, C133)</f>
        <v>0</v>
      </c>
    </row>
    <row r="134" spans="2:17" ht="18.75" customHeight="1">
      <c r="B134" s="180" t="s">
        <v>319</v>
      </c>
      <c r="C134" s="263" t="s">
        <v>83</v>
      </c>
      <c r="D134" s="181"/>
      <c r="E134" s="181"/>
      <c r="F134" s="181"/>
      <c r="G134" s="214">
        <f>COUNTIFS(Trainee!$C$5:$C$57, C134) + COUNTIFS(Trainee!$D$5:$D$51, C134)</f>
        <v>1</v>
      </c>
      <c r="H134" s="215">
        <f>COUNTIFS(Trainee!$E$5:$F$51, C134) + COUNTIFS(Trainee!$D$56:$D$57, C134)</f>
        <v>0</v>
      </c>
      <c r="I134" s="215">
        <f>COUNTIF(Trainee!$H$5:$I$51, C134)</f>
        <v>2</v>
      </c>
      <c r="J134" s="207">
        <f t="shared" si="0"/>
        <v>3</v>
      </c>
      <c r="K134" s="176">
        <f>SUM(MAX(G134 - M134, 0)*2 + MAX(H134 - N134 - O134, 0)*2 + MAX(I134 - P134, 0)*2 + M134*5 + N134*5 + O134*3 + P134*3)</f>
        <v>6</v>
      </c>
      <c r="M134" s="177">
        <f>COUNTIF(Trainee!$C$56:$C$57, C134)</f>
        <v>0</v>
      </c>
      <c r="N134" s="177">
        <f>COUNTIF(Trainee!$D$56:$D$57, C134)</f>
        <v>0</v>
      </c>
      <c r="O134" s="177">
        <v>0</v>
      </c>
      <c r="P134" s="177">
        <f>COUNTIFS(Trainee!$H$10:$I$10, C134) + COUNTIFS(Trainee!$H$31:$I$31, C134) + COUNTIFS(Trainee!$H$41:$I$41, C134) + COUNTIFS(Trainee!$H$51:$I104, C134)</f>
        <v>0</v>
      </c>
    </row>
    <row r="135" spans="2:17" ht="14.25">
      <c r="B135" s="182" t="s">
        <v>320</v>
      </c>
      <c r="C135" s="264" t="s">
        <v>96</v>
      </c>
      <c r="D135" s="183"/>
      <c r="E135" s="183"/>
      <c r="F135" s="184"/>
      <c r="G135" s="185">
        <f>SUM(G81:G134)</f>
        <v>52</v>
      </c>
      <c r="H135" s="186">
        <f>SUM(H81:H134)</f>
        <v>60</v>
      </c>
      <c r="I135" s="187">
        <f>+SUM(I81:I134)</f>
        <v>58</v>
      </c>
      <c r="J135" s="188">
        <f>SUM(J81:J134)</f>
        <v>170</v>
      </c>
      <c r="K135" s="188">
        <f>SUM(G135*2) + (H135*2) +(I135*2) +(O135*3) +(P135*3) + (M135*4)</f>
        <v>396</v>
      </c>
      <c r="M135" s="177">
        <f>SUM(M81:M134)</f>
        <v>2</v>
      </c>
      <c r="N135" s="177">
        <f>SUM(N81:N134)</f>
        <v>2</v>
      </c>
      <c r="O135" s="177">
        <f>SUM(O81:O134)</f>
        <v>8</v>
      </c>
      <c r="P135" s="177">
        <f>SUM(P81:P134)</f>
        <v>8</v>
      </c>
    </row>
    <row r="136" spans="2:17">
      <c r="B136" s="189" t="s">
        <v>321</v>
      </c>
    </row>
    <row r="137" spans="2:17">
      <c r="Q137" s="190"/>
    </row>
    <row r="140" spans="2:17" ht="14.25">
      <c r="C140" s="253" t="s">
        <v>322</v>
      </c>
    </row>
    <row r="141" spans="2:17" ht="14.25">
      <c r="C141" s="256" t="s">
        <v>182</v>
      </c>
      <c r="D141" s="191"/>
      <c r="E141" s="191"/>
      <c r="F141" s="191"/>
      <c r="G141" s="191"/>
      <c r="H141" s="191"/>
      <c r="I141" s="191"/>
      <c r="J141" s="191"/>
      <c r="K141" s="191"/>
      <c r="L141" s="191"/>
      <c r="M141" s="183">
        <f>COUNTIF(Trainee!$C$56:$C$59, C141)</f>
        <v>0</v>
      </c>
      <c r="N141" s="183">
        <f>COUNTIF(Trainee!$D$56:$D$59, C141)</f>
        <v>0</v>
      </c>
      <c r="O141" s="183">
        <f>COUNTIFS(Trainee!$E$10:$F$10, C141) + COUNTIFS(Trainee!$E$31:$F$31, C141) + COUNTIFS(Trainee!$E$41:$F$41, C141) + COUNTIFS(Trainee!$E$51:$F111, C141)</f>
        <v>0</v>
      </c>
      <c r="P141" s="184">
        <f>COUNTIFS(Trainee!$H$10:$I$10, C141) + COUNTIFS(Trainee!$H$31:$I$31, C141) + COUNTIFS(Trainee!$H$41:$I$41, C141) + COUNTIFS(Trainee!$H$51:$I111, C141)</f>
        <v>0</v>
      </c>
    </row>
    <row r="142" spans="2:17">
      <c r="L142" s="165"/>
    </row>
  </sheetData>
  <sortState xmlns:xlrd2="http://schemas.microsoft.com/office/spreadsheetml/2017/richdata2" ref="B77:C131">
    <sortCondition ref="C77:C131"/>
  </sortState>
  <hyperlinks>
    <hyperlink ref="D7" r:id="rId1" xr:uid="{F2A4C84F-6D2B-415B-BCBB-6F9292838F5D}"/>
    <hyperlink ref="D46" r:id="rId2" xr:uid="{6BF2AE23-44A0-4B37-9208-4F4FF544BD1A}"/>
    <hyperlink ref="D45" r:id="rId3" xr:uid="{29213808-1FF3-4530-88E1-8DB10663217F}"/>
    <hyperlink ref="D43" r:id="rId4" xr:uid="{7F0690A7-4EFD-4D83-A1CD-FAF038E70B87}"/>
    <hyperlink ref="D39" r:id="rId5" xr:uid="{65695DB4-FDAF-4D16-A7DF-31DEB1550A68}"/>
    <hyperlink ref="D38" r:id="rId6" xr:uid="{08DC3429-2B81-462B-88E4-7DF63AA53DF7}"/>
    <hyperlink ref="D37" r:id="rId7" xr:uid="{F4CA521B-69C2-4AA1-94AF-E7AD39339296}"/>
    <hyperlink ref="D35" r:id="rId8" xr:uid="{1F22AB26-01FF-43F2-8096-50993606F3FE}"/>
    <hyperlink ref="D34" r:id="rId9" xr:uid="{E3798D5E-0662-4D80-9AAC-561385519C6D}"/>
    <hyperlink ref="D33" r:id="rId10" xr:uid="{236E2578-4377-470E-B2F0-71B41E0C0A06}"/>
    <hyperlink ref="D26" r:id="rId11" xr:uid="{585716AF-8E94-4EE6-903C-4B0332066DCB}"/>
    <hyperlink ref="D24" r:id="rId12" xr:uid="{D001B9E4-631D-4855-995C-5864C28D2AFB}"/>
    <hyperlink ref="D15" r:id="rId13" xr:uid="{1342C10C-D136-4FB3-AC24-4A56AA2F0719}"/>
    <hyperlink ref="D12" r:id="rId14" xr:uid="{687FC155-2680-4E29-BC08-0F01F7D79AFC}"/>
    <hyperlink ref="D11" r:id="rId15" xr:uid="{75D1948F-F94E-4440-937A-7BE05CC2138E}"/>
    <hyperlink ref="D10" r:id="rId16" xr:uid="{BABBB3F2-0EE0-4FC7-B0CD-8264C3868C10}"/>
    <hyperlink ref="D9" r:id="rId17" xr:uid="{481790C0-87B9-4058-AF08-E52F5849B6F5}"/>
    <hyperlink ref="D47" r:id="rId18" xr:uid="{19A76CEA-9AB1-437E-AB30-87D9B93D4676}"/>
    <hyperlink ref="D48" r:id="rId19" xr:uid="{2E8B0268-0149-4B32-936F-E4075271B709}"/>
    <hyperlink ref="D49" r:id="rId20" xr:uid="{1BE4D352-7CBC-420A-9572-33AC6F4BEDE0}"/>
    <hyperlink ref="D50" r:id="rId21" xr:uid="{9E4834D4-00E7-4BF9-9FC1-616754E40AF6}"/>
    <hyperlink ref="D51" r:id="rId22" xr:uid="{BB1DA3A9-7EA9-4556-83A3-08F8E8DAEB64}"/>
    <hyperlink ref="D52" r:id="rId23" xr:uid="{3EDF52B3-145B-4F97-B59D-6C42795D9E46}"/>
    <hyperlink ref="D53" r:id="rId24" xr:uid="{3A319473-B351-4693-AF41-76900BDA4135}"/>
    <hyperlink ref="D54" r:id="rId25" xr:uid="{896F74CB-5BB1-49C6-9566-D9E48571927C}"/>
    <hyperlink ref="D55" r:id="rId26" xr:uid="{90E26ED1-870B-4ECC-93D7-A3DA1DF5CB73}"/>
    <hyperlink ref="D56" r:id="rId27" xr:uid="{B50CD083-46A6-41EF-9613-03F0BB95BFB8}"/>
    <hyperlink ref="D57" r:id="rId28" xr:uid="{DDA99E41-CFD6-44C4-B8F8-7ADA0407D5BF}"/>
    <hyperlink ref="D58" r:id="rId29" xr:uid="{6E8171B6-DCFC-45B7-8E16-2A7B2C705B50}"/>
    <hyperlink ref="D59" r:id="rId30" xr:uid="{6077A269-FFC7-4273-BD76-10E820AF325C}"/>
    <hyperlink ref="D60" r:id="rId31" xr:uid="{72619FD9-2FE0-4533-9412-6CFEEB1376A2}"/>
    <hyperlink ref="D61" r:id="rId32" xr:uid="{311DCA89-99E1-46B7-AB03-E3658323C745}"/>
    <hyperlink ref="D62" r:id="rId33" xr:uid="{A6C83464-05EC-4DC8-822E-F49F8A2A15FB}"/>
    <hyperlink ref="D63" r:id="rId34" xr:uid="{49CEB5FB-DDE9-44E8-AE66-4343800F2CB7}"/>
    <hyperlink ref="D64" r:id="rId35" xr:uid="{9159C3AE-EBD0-4EBC-8C80-2D4A340D2702}"/>
    <hyperlink ref="D65" r:id="rId36" xr:uid="{A3989E9C-1828-41DD-A8B9-CAFB4CFC85E5}"/>
    <hyperlink ref="D66" r:id="rId37" xr:uid="{779BA958-3DDF-411D-8EEC-CD9F61011AA4}"/>
    <hyperlink ref="D67" r:id="rId38" xr:uid="{C40D663C-1BBA-4432-AC7A-22887DCA16BF}"/>
    <hyperlink ref="D68" r:id="rId39" xr:uid="{9AE22388-0017-43EC-94FF-305ACB89BF41}"/>
    <hyperlink ref="D69" r:id="rId40" xr:uid="{0F194FCA-D149-4AA8-9840-E4E773CAA6D9}"/>
  </hyperlinks>
  <pageMargins left="0.7" right="0.7" top="0.75" bottom="0.75" header="0.3" footer="0.3"/>
  <pageSetup orientation="landscape"/>
  <tableParts count="2">
    <tablePart r:id="rId41"/>
    <tablePart r:id="rId4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D52E-CB48-49FE-8480-BB6C13DC8A3B}">
  <sheetPr>
    <tabColor rgb="FF7030A0"/>
  </sheetPr>
  <dimension ref="A1:P25"/>
  <sheetViews>
    <sheetView zoomScale="163" workbookViewId="0">
      <selection activeCell="I4" sqref="I4"/>
    </sheetView>
  </sheetViews>
  <sheetFormatPr defaultRowHeight="13.5"/>
  <cols>
    <col min="1" max="1" width="12.75" customWidth="1"/>
    <col min="2" max="2" width="47.25" customWidth="1"/>
    <col min="3" max="3" width="26.125" customWidth="1"/>
    <col min="4" max="4" width="11.875" customWidth="1"/>
    <col min="5" max="5" width="11.125" customWidth="1"/>
    <col min="6" max="6" width="16" style="37" customWidth="1"/>
    <col min="7" max="7" width="26.125" bestFit="1" customWidth="1"/>
  </cols>
  <sheetData>
    <row r="1" spans="1:16">
      <c r="A1" s="102" t="s">
        <v>323</v>
      </c>
      <c r="B1" s="103" t="s">
        <v>324</v>
      </c>
      <c r="C1" s="103" t="s">
        <v>325</v>
      </c>
      <c r="D1" s="103" t="s">
        <v>326</v>
      </c>
      <c r="E1" s="103" t="s">
        <v>327</v>
      </c>
      <c r="F1" s="104" t="s">
        <v>68</v>
      </c>
      <c r="G1" s="105" t="s">
        <v>328</v>
      </c>
    </row>
    <row r="2" spans="1:16" ht="49.5">
      <c r="A2" s="265" t="s">
        <v>329</v>
      </c>
      <c r="B2" s="266" t="s">
        <v>330</v>
      </c>
      <c r="C2" s="267" t="s">
        <v>331</v>
      </c>
      <c r="D2" s="268">
        <v>0.33333333333333331</v>
      </c>
      <c r="E2" s="269">
        <v>0.75</v>
      </c>
      <c r="F2" s="266" t="s">
        <v>332</v>
      </c>
      <c r="G2" s="270" t="s">
        <v>333</v>
      </c>
      <c r="H2" s="37"/>
      <c r="I2" s="37"/>
      <c r="N2" s="49"/>
      <c r="O2" s="49"/>
      <c r="P2" s="49"/>
    </row>
    <row r="3" spans="1:16" ht="33" customHeight="1">
      <c r="A3" s="375" t="s">
        <v>334</v>
      </c>
      <c r="B3" s="377" t="s">
        <v>335</v>
      </c>
      <c r="C3" s="379" t="s">
        <v>336</v>
      </c>
      <c r="D3" s="381">
        <v>0.33333333333333331</v>
      </c>
      <c r="E3" s="369">
        <v>0.83333333333333337</v>
      </c>
      <c r="F3" s="377" t="s">
        <v>337</v>
      </c>
      <c r="G3" s="271" t="s">
        <v>338</v>
      </c>
      <c r="H3" s="37"/>
      <c r="I3" s="37"/>
      <c r="N3" s="49"/>
      <c r="O3" s="49"/>
      <c r="P3" s="49"/>
    </row>
    <row r="4" spans="1:16" ht="15">
      <c r="A4" s="376"/>
      <c r="B4" s="378"/>
      <c r="C4" s="380"/>
      <c r="D4" s="382"/>
      <c r="E4" s="370"/>
      <c r="F4" s="383"/>
      <c r="G4" s="272" t="s">
        <v>339</v>
      </c>
      <c r="N4" s="49"/>
      <c r="O4" s="49"/>
      <c r="P4" s="49"/>
    </row>
    <row r="5" spans="1:16" ht="15">
      <c r="A5" s="375" t="s">
        <v>340</v>
      </c>
      <c r="B5" s="377" t="s">
        <v>341</v>
      </c>
      <c r="C5" s="379" t="s">
        <v>342</v>
      </c>
      <c r="D5" s="369">
        <v>0.41666666666666669</v>
      </c>
      <c r="E5" s="371">
        <v>0.70833333333333337</v>
      </c>
      <c r="F5" s="373" t="s">
        <v>343</v>
      </c>
      <c r="G5" s="273" t="s">
        <v>344</v>
      </c>
      <c r="N5" s="49"/>
      <c r="O5" s="49"/>
      <c r="P5" s="49"/>
    </row>
    <row r="6" spans="1:16" ht="15">
      <c r="A6" s="376"/>
      <c r="B6" s="378"/>
      <c r="C6" s="380"/>
      <c r="D6" s="370"/>
      <c r="E6" s="372"/>
      <c r="F6" s="374"/>
      <c r="G6" s="222" t="s">
        <v>345</v>
      </c>
      <c r="N6" s="49"/>
      <c r="O6" s="49"/>
      <c r="P6" s="49"/>
    </row>
    <row r="7" spans="1:16" ht="16.5" customHeight="1">
      <c r="A7" s="375">
        <v>45985</v>
      </c>
      <c r="B7" s="377" t="s">
        <v>346</v>
      </c>
      <c r="C7" s="379" t="s">
        <v>347</v>
      </c>
      <c r="D7" s="381">
        <v>0.375</v>
      </c>
      <c r="E7" s="369">
        <v>0.625</v>
      </c>
      <c r="F7" s="377" t="s">
        <v>348</v>
      </c>
      <c r="G7" s="273" t="s">
        <v>344</v>
      </c>
      <c r="N7" s="49"/>
      <c r="O7" s="49"/>
      <c r="P7" s="49"/>
    </row>
    <row r="8" spans="1:16" ht="15">
      <c r="A8" s="376"/>
      <c r="B8" s="378"/>
      <c r="C8" s="380"/>
      <c r="D8" s="382"/>
      <c r="E8" s="370"/>
      <c r="F8" s="378"/>
      <c r="G8" s="222" t="s">
        <v>345</v>
      </c>
      <c r="N8" s="49"/>
      <c r="O8" s="49"/>
      <c r="P8" s="49"/>
    </row>
    <row r="9" spans="1:16" ht="41.25" customHeight="1">
      <c r="A9" s="375" t="s">
        <v>349</v>
      </c>
      <c r="B9" s="377" t="s">
        <v>350</v>
      </c>
      <c r="C9" s="379" t="s">
        <v>351</v>
      </c>
      <c r="D9" s="381">
        <v>0.41666666666666669</v>
      </c>
      <c r="E9" s="369">
        <v>0.66666666666666663</v>
      </c>
      <c r="F9" s="377" t="s">
        <v>343</v>
      </c>
      <c r="G9" s="273" t="s">
        <v>352</v>
      </c>
      <c r="N9" s="49"/>
      <c r="O9" s="49"/>
      <c r="P9" s="49"/>
    </row>
    <row r="10" spans="1:16" ht="36.75" customHeight="1">
      <c r="A10" s="376"/>
      <c r="B10" s="378"/>
      <c r="C10" s="380"/>
      <c r="D10" s="382"/>
      <c r="E10" s="370"/>
      <c r="F10" s="378"/>
      <c r="G10" s="222" t="s">
        <v>353</v>
      </c>
      <c r="N10" s="49"/>
      <c r="O10" s="49"/>
      <c r="P10" s="49"/>
    </row>
    <row r="11" spans="1:16">
      <c r="A11" s="141"/>
      <c r="B11" s="200"/>
      <c r="C11" s="201"/>
      <c r="D11" s="202"/>
      <c r="E11" s="203"/>
      <c r="F11" s="200"/>
      <c r="G11" s="201"/>
      <c r="N11" s="49"/>
      <c r="O11" s="49"/>
      <c r="P11" s="49"/>
    </row>
    <row r="12" spans="1:16" ht="15">
      <c r="A12" s="141"/>
      <c r="B12" s="200"/>
      <c r="C12" s="201"/>
      <c r="D12" s="202"/>
      <c r="E12" s="203"/>
      <c r="F12" s="200"/>
      <c r="G12" s="226"/>
      <c r="N12" s="49"/>
      <c r="O12" s="49"/>
      <c r="P12" s="49"/>
    </row>
    <row r="13" spans="1:16">
      <c r="A13" s="141"/>
      <c r="B13" s="200"/>
      <c r="C13" s="201"/>
      <c r="D13" s="202"/>
      <c r="E13" s="203"/>
      <c r="F13" s="200"/>
      <c r="G13" s="201"/>
      <c r="N13" s="49"/>
      <c r="O13" s="49"/>
      <c r="P13" s="49"/>
    </row>
    <row r="14" spans="1:16">
      <c r="A14" s="217"/>
      <c r="B14" s="216"/>
      <c r="C14" s="218"/>
      <c r="D14" s="219"/>
      <c r="E14" s="220"/>
      <c r="F14" s="216"/>
      <c r="G14" s="218"/>
      <c r="N14" s="49"/>
      <c r="O14" s="49"/>
      <c r="P14" s="49"/>
    </row>
    <row r="15" spans="1:16">
      <c r="A15" s="141"/>
      <c r="B15" s="200"/>
      <c r="C15" s="201"/>
      <c r="D15" s="202"/>
      <c r="E15" s="203"/>
      <c r="F15" s="200"/>
      <c r="G15" s="201"/>
      <c r="N15" s="49"/>
      <c r="O15" s="49"/>
      <c r="P15" s="49"/>
    </row>
    <row r="16" spans="1:16">
      <c r="A16" s="141"/>
      <c r="B16" s="200"/>
      <c r="C16" s="201"/>
      <c r="D16" s="202"/>
      <c r="E16" s="203"/>
      <c r="F16" s="200"/>
      <c r="G16" s="201"/>
      <c r="N16" s="49"/>
      <c r="O16" s="49"/>
      <c r="P16" s="49"/>
    </row>
    <row r="17" spans="1:16" ht="14.25">
      <c r="A17" s="28"/>
      <c r="B17" s="28"/>
      <c r="C17" s="28"/>
      <c r="D17" s="28"/>
      <c r="E17" s="28"/>
      <c r="F17" s="20"/>
      <c r="G17" s="28"/>
      <c r="N17" s="49"/>
      <c r="O17" s="49"/>
      <c r="P17" s="49"/>
    </row>
    <row r="18" spans="1:16" ht="14.25">
      <c r="A18" s="29" t="s">
        <v>354</v>
      </c>
      <c r="B18" s="29" t="s">
        <v>354</v>
      </c>
      <c r="C18" s="29" t="s">
        <v>354</v>
      </c>
      <c r="D18" s="29" t="s">
        <v>354</v>
      </c>
      <c r="E18" s="29" t="s">
        <v>354</v>
      </c>
      <c r="F18" s="35" t="s">
        <v>354</v>
      </c>
      <c r="G18" s="29" t="s">
        <v>354</v>
      </c>
      <c r="N18" s="49"/>
      <c r="O18" s="49"/>
      <c r="P18" s="49"/>
    </row>
    <row r="19" spans="1:16" ht="15">
      <c r="B19" s="31"/>
      <c r="C19" s="31"/>
      <c r="D19" s="33"/>
      <c r="E19" s="33"/>
      <c r="F19" s="36"/>
      <c r="G19" s="33"/>
      <c r="N19" s="49"/>
      <c r="O19" s="49"/>
      <c r="P19" s="49"/>
    </row>
    <row r="20" spans="1:16" ht="15">
      <c r="A20" s="30" t="s">
        <v>355</v>
      </c>
      <c r="B20" s="31"/>
      <c r="C20" s="31"/>
      <c r="D20" s="33"/>
      <c r="E20" s="33"/>
      <c r="F20" s="36"/>
      <c r="G20" s="33"/>
      <c r="N20" s="49"/>
      <c r="O20" s="49"/>
      <c r="P20" s="49"/>
    </row>
    <row r="21" spans="1:16" ht="15">
      <c r="A21" s="32" t="s">
        <v>356</v>
      </c>
      <c r="B21" s="31"/>
      <c r="C21" s="31"/>
      <c r="D21" s="33"/>
      <c r="E21" s="33"/>
      <c r="F21" s="36"/>
      <c r="G21" s="33"/>
      <c r="N21" s="49"/>
      <c r="O21" s="49"/>
      <c r="P21" s="49"/>
    </row>
    <row r="22" spans="1:16" ht="15">
      <c r="A22" s="31" t="s">
        <v>357</v>
      </c>
      <c r="B22" s="31"/>
      <c r="C22" s="31"/>
      <c r="D22" s="33"/>
      <c r="E22" s="33"/>
      <c r="F22" s="36"/>
      <c r="G22" s="33"/>
    </row>
    <row r="23" spans="1:16" ht="15">
      <c r="A23" s="32" t="s">
        <v>358</v>
      </c>
      <c r="B23" s="31"/>
      <c r="C23" s="31"/>
      <c r="D23" s="33"/>
      <c r="E23" s="33"/>
      <c r="F23" s="36"/>
      <c r="G23" s="33"/>
      <c r="P23" s="46"/>
    </row>
    <row r="24" spans="1:16" ht="15">
      <c r="A24" s="31" t="s">
        <v>359</v>
      </c>
      <c r="B24" s="31"/>
      <c r="C24" s="31"/>
      <c r="D24" s="33"/>
      <c r="E24" s="33"/>
      <c r="F24" s="36"/>
      <c r="G24" s="33"/>
      <c r="P24" s="47"/>
    </row>
    <row r="25" spans="1:16" ht="15">
      <c r="A25" s="32" t="s">
        <v>360</v>
      </c>
      <c r="P25" s="48"/>
    </row>
  </sheetData>
  <sheetProtection algorithmName="SHA-512" hashValue="CxC813HfKYQhp1zEBZYKliDn3onqbFCghK5rKHMHsrVOZCotJjwZmpGwKiBIy+Wl7DtSHC8TMfcArJ1Abys4Kw==" saltValue="47KhmpWjxuQ0fds7+EfZMw==" spinCount="100000" sheet="1" objects="1" scenarios="1"/>
  <sortState xmlns:xlrd2="http://schemas.microsoft.com/office/spreadsheetml/2017/richdata2" ref="A2:G2">
    <sortCondition ref="A2"/>
  </sortState>
  <mergeCells count="24">
    <mergeCell ref="E9:E10"/>
    <mergeCell ref="F9:F10"/>
    <mergeCell ref="A3:A4"/>
    <mergeCell ref="A9:A10"/>
    <mergeCell ref="B9:B10"/>
    <mergeCell ref="C9:C10"/>
    <mergeCell ref="D9:D10"/>
    <mergeCell ref="F3:F4"/>
    <mergeCell ref="E3:E4"/>
    <mergeCell ref="D3:D4"/>
    <mergeCell ref="C3:C4"/>
    <mergeCell ref="B3:B4"/>
    <mergeCell ref="F7:F8"/>
    <mergeCell ref="A5:A6"/>
    <mergeCell ref="B5:B6"/>
    <mergeCell ref="C5:C6"/>
    <mergeCell ref="D5:D6"/>
    <mergeCell ref="E5:E6"/>
    <mergeCell ref="F5:F6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CF88-C5AE-42F9-A0C4-146DAA0ACEB8}">
  <sheetPr>
    <tabColor rgb="FF00B0F0"/>
  </sheetPr>
  <dimension ref="A1:X12"/>
  <sheetViews>
    <sheetView workbookViewId="0">
      <selection activeCell="A9" sqref="A9"/>
    </sheetView>
  </sheetViews>
  <sheetFormatPr defaultColWidth="9" defaultRowHeight="15.6"/>
  <cols>
    <col min="1" max="1" width="11.5" style="61" customWidth="1"/>
    <col min="2" max="2" width="14.375" style="39" customWidth="1"/>
    <col min="3" max="3" width="21.625" style="43" customWidth="1"/>
    <col min="4" max="4" width="12.625" style="39" customWidth="1"/>
    <col min="5" max="5" width="12" style="39" customWidth="1"/>
    <col min="6" max="6" width="15.25" style="39" customWidth="1"/>
    <col min="7" max="7" width="17.25" style="39" customWidth="1"/>
    <col min="8" max="8" width="16" style="39" customWidth="1"/>
    <col min="9" max="9" width="60.375" style="39" bestFit="1" customWidth="1"/>
    <col min="10" max="10" width="22.25" style="39" customWidth="1"/>
    <col min="11" max="11" width="18" style="39" customWidth="1"/>
    <col min="12" max="33" width="9" style="39"/>
    <col min="34" max="34" width="12.5" style="39" customWidth="1"/>
    <col min="35" max="16384" width="9" style="39"/>
  </cols>
  <sheetData>
    <row r="1" spans="1:24" s="40" customFormat="1" ht="32.25">
      <c r="A1" s="74" t="s">
        <v>323</v>
      </c>
      <c r="B1" s="41" t="s">
        <v>324</v>
      </c>
      <c r="C1" s="41" t="s">
        <v>68</v>
      </c>
      <c r="D1" s="41" t="s">
        <v>361</v>
      </c>
      <c r="E1" s="41" t="s">
        <v>362</v>
      </c>
      <c r="F1" s="41" t="s">
        <v>363</v>
      </c>
      <c r="G1" s="95" t="s">
        <v>364</v>
      </c>
      <c r="H1" s="41" t="s">
        <v>365</v>
      </c>
      <c r="I1" s="42" t="s">
        <v>366</v>
      </c>
      <c r="J1" s="42" t="s">
        <v>367</v>
      </c>
      <c r="X1" s="38" t="s">
        <v>368</v>
      </c>
    </row>
    <row r="2" spans="1:24" ht="15.75" customHeight="1">
      <c r="A2" s="384" t="s">
        <v>369</v>
      </c>
      <c r="B2" s="385"/>
      <c r="C2" s="385"/>
      <c r="D2" s="385"/>
      <c r="E2" s="385"/>
      <c r="F2" s="385"/>
      <c r="G2" s="385"/>
      <c r="H2" s="385"/>
      <c r="I2" s="385"/>
      <c r="J2" s="386"/>
      <c r="X2" s="39" t="s">
        <v>370</v>
      </c>
    </row>
    <row r="3" spans="1:24" ht="15.75" customHeight="1">
      <c r="A3" s="387"/>
      <c r="B3" s="388"/>
      <c r="C3" s="388"/>
      <c r="D3" s="388"/>
      <c r="E3" s="388"/>
      <c r="F3" s="388"/>
      <c r="G3" s="388"/>
      <c r="H3" s="388"/>
      <c r="I3" s="388"/>
      <c r="J3" s="389"/>
      <c r="X3" s="39" t="s">
        <v>371</v>
      </c>
    </row>
    <row r="4" spans="1:24" ht="15.75" customHeight="1">
      <c r="A4" s="387"/>
      <c r="B4" s="388"/>
      <c r="C4" s="388"/>
      <c r="D4" s="388"/>
      <c r="E4" s="388"/>
      <c r="F4" s="388"/>
      <c r="G4" s="388"/>
      <c r="H4" s="388"/>
      <c r="I4" s="388"/>
      <c r="J4" s="389"/>
    </row>
    <row r="5" spans="1:24" ht="15.75" customHeight="1">
      <c r="A5" s="387"/>
      <c r="B5" s="388"/>
      <c r="C5" s="388"/>
      <c r="D5" s="388"/>
      <c r="E5" s="388"/>
      <c r="F5" s="388"/>
      <c r="G5" s="388"/>
      <c r="H5" s="388"/>
      <c r="I5" s="388"/>
      <c r="J5" s="389"/>
    </row>
    <row r="6" spans="1:24" ht="15.75" customHeight="1">
      <c r="A6" s="387"/>
      <c r="B6" s="388"/>
      <c r="C6" s="388"/>
      <c r="D6" s="388"/>
      <c r="E6" s="388"/>
      <c r="F6" s="388"/>
      <c r="G6" s="388"/>
      <c r="H6" s="388"/>
      <c r="I6" s="388"/>
      <c r="J6" s="389"/>
    </row>
    <row r="7" spans="1:24" ht="15.75" customHeight="1">
      <c r="A7" s="387"/>
      <c r="B7" s="388"/>
      <c r="C7" s="388"/>
      <c r="D7" s="388"/>
      <c r="E7" s="388"/>
      <c r="F7" s="388"/>
      <c r="G7" s="388"/>
      <c r="H7" s="388"/>
      <c r="I7" s="388"/>
      <c r="J7" s="389"/>
    </row>
    <row r="8" spans="1:24" ht="15.75" customHeight="1">
      <c r="A8" s="390"/>
      <c r="B8" s="391"/>
      <c r="C8" s="391"/>
      <c r="D8" s="391"/>
      <c r="E8" s="391"/>
      <c r="F8" s="391"/>
      <c r="G8" s="391"/>
      <c r="H8" s="391"/>
      <c r="I8" s="391"/>
      <c r="J8" s="392"/>
    </row>
    <row r="9" spans="1:24" ht="14.25"/>
    <row r="10" spans="1:24" ht="14.25"/>
    <row r="11" spans="1:24" ht="14.25"/>
    <row r="12" spans="1:24" ht="14.25"/>
  </sheetData>
  <sheetProtection algorithmName="SHA-512" hashValue="psi4ariSfVJnUkOBp45a5vpGKSW9DFwpXYb+RQ+c/xeoKWkZby8jDzF1McemCPKsHst2kdffsa7zvUsrKoDzAg==" saltValue="K96QvTHAn1ONKqU3tRXIPA==" spinCount="100000" sheet="1" objects="1" scenarios="1"/>
  <sortState xmlns:xlrd2="http://schemas.microsoft.com/office/spreadsheetml/2017/richdata2" ref="A2:AH8">
    <sortCondition ref="A2:A8"/>
    <sortCondition ref="D2:D8"/>
  </sortState>
  <mergeCells count="1">
    <mergeCell ref="A2:J8"/>
  </mergeCells>
  <conditionalFormatting sqref="J9:J15">
    <cfRule type="containsText" dxfId="3" priority="3" operator="containsText" text="Completed">
      <formula>NOT(ISERROR(SEARCH("Completed",J9)))</formula>
    </cfRule>
  </conditionalFormatting>
  <conditionalFormatting sqref="J9:J1048576">
    <cfRule type="containsText" dxfId="2" priority="11" operator="containsText" text="Acknowledged">
      <formula>NOT(ISERROR(SEARCH("Acknowledged",J9)))</formula>
    </cfRule>
    <cfRule type="containsText" dxfId="1" priority="12" operator="containsText" text="Completed">
      <formula>NOT(ISERROR(SEARCH("Completed",J9)))</formula>
    </cfRule>
  </conditionalFormatting>
  <conditionalFormatting sqref="J9:J1048576">
    <cfRule type="cellIs" dxfId="0" priority="13" operator="equal">
      <formula>#REF!</formula>
    </cfRule>
  </conditionalFormatting>
  <dataValidations count="1">
    <dataValidation type="list" allowBlank="1" showInputMessage="1" showErrorMessage="1" sqref="J9:J1048576" xr:uid="{F3280D8A-F283-4BA6-BADE-E2C0CF118FFB}">
      <formula1>$X$1:$X$1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192CAC-B9DA-4265-BD73-5092C24A0B81}">
          <x14:formula1>
            <xm:f>'Names list'!$C$2:$C$44</xm:f>
          </x14:formula1>
          <xm:sqref>F9:G1048576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yongxian teh</dc:creator>
  <cp:keywords/>
  <dc:description/>
  <cp:lastModifiedBy>Mohammed Eshan</cp:lastModifiedBy>
  <cp:revision/>
  <dcterms:created xsi:type="dcterms:W3CDTF">2022-05-14T08:37:00Z</dcterms:created>
  <dcterms:modified xsi:type="dcterms:W3CDTF">2025-11-26T08:15:59Z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2AC1A16AD1B34A2082C6125D6FAAF990</vt:lpwstr>
  </property>
  <property fmtid="{D5CDD505-2E9C-101B-9397-08002B2CF9AE}" pid="3" name="KSOProductBuildVer">
    <vt:lpwstr>1033-11.2.0.11417</vt:lpwstr>
  </property>
</Properties>
</file>